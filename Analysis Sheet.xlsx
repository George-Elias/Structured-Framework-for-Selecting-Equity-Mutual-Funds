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u\Downloads\"/>
    </mc:Choice>
  </mc:AlternateContent>
  <xr:revisionPtr revIDLastSave="0" documentId="13_ncr:1_{CB6D98A0-34A4-463F-BA9B-4D8EAFEBA000}" xr6:coauthVersionLast="47" xr6:coauthVersionMax="47" xr10:uidLastSave="{00000000-0000-0000-0000-000000000000}"/>
  <bookViews>
    <workbookView xWindow="-108" yWindow="-108" windowWidth="23256" windowHeight="13176" xr2:uid="{2C6D6245-21EF-4D4F-AE3D-11A0D6D6BE4A}"/>
  </bookViews>
  <sheets>
    <sheet name="Metrics Ranking" sheetId="5" r:id="rId1"/>
    <sheet name="Analysis I" sheetId="4" r:id="rId2"/>
    <sheet name="Analysis II" sheetId="3" r:id="rId3"/>
    <sheet name="|" sheetId="6" r:id="rId4"/>
    <sheet name="Extra I" sheetId="2" r:id="rId5"/>
    <sheet name="Extra II" sheetId="1" r:id="rId6"/>
  </sheets>
  <definedNames>
    <definedName name="_xlnm._FilterDatabase" localSheetId="2" hidden="1">'Analysis II'!$G$2:$U$2</definedName>
    <definedName name="_xlnm._FilterDatabase" localSheetId="5" hidden="1">'Extra II'!$B$2:$K$85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3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H13" i="4"/>
  <c r="H19" i="4"/>
  <c r="H20" i="4"/>
  <c r="H11" i="4"/>
  <c r="H10" i="4"/>
  <c r="H12" i="4"/>
  <c r="H7" i="4"/>
  <c r="H6" i="4"/>
  <c r="H14" i="4"/>
  <c r="H5" i="4"/>
  <c r="H17" i="4"/>
  <c r="H23" i="4"/>
  <c r="H21" i="4"/>
  <c r="H22" i="4"/>
  <c r="H8" i="4"/>
  <c r="H3" i="4"/>
  <c r="H18" i="4"/>
  <c r="H25" i="4"/>
  <c r="H16" i="4"/>
  <c r="H24" i="4"/>
  <c r="H15" i="4"/>
  <c r="H9" i="4"/>
  <c r="H4" i="4"/>
  <c r="F13" i="4"/>
  <c r="F19" i="4"/>
  <c r="F20" i="4"/>
  <c r="F11" i="4"/>
  <c r="F10" i="4"/>
  <c r="F12" i="4"/>
  <c r="F7" i="4"/>
  <c r="F6" i="4"/>
  <c r="F14" i="4"/>
  <c r="F5" i="4"/>
  <c r="F17" i="4"/>
  <c r="F23" i="4"/>
  <c r="F21" i="4"/>
  <c r="F22" i="4"/>
  <c r="F8" i="4"/>
  <c r="F3" i="4"/>
  <c r="F18" i="4"/>
  <c r="F25" i="4"/>
  <c r="F16" i="4"/>
  <c r="F24" i="4"/>
  <c r="F15" i="4"/>
  <c r="F9" i="4"/>
  <c r="F4" i="4"/>
  <c r="B10" i="5"/>
  <c r="C10" i="5" s="1"/>
  <c r="B21" i="5"/>
  <c r="B8" i="5"/>
  <c r="B4" i="5"/>
  <c r="B13" i="5"/>
  <c r="B7" i="5"/>
  <c r="B6" i="5"/>
  <c r="B17" i="5"/>
  <c r="C17" i="5" s="1"/>
  <c r="B5" i="5"/>
  <c r="B19" i="5"/>
  <c r="B16" i="5"/>
  <c r="B11" i="5"/>
  <c r="B18" i="5"/>
  <c r="B14" i="5"/>
  <c r="B12" i="5"/>
  <c r="B15" i="5"/>
  <c r="B9" i="5"/>
  <c r="B23" i="5"/>
  <c r="B22" i="5"/>
  <c r="B20" i="5"/>
  <c r="C20" i="5" s="1"/>
  <c r="B24" i="5"/>
  <c r="C24" i="5" s="1"/>
  <c r="B25" i="5"/>
  <c r="B3" i="5"/>
  <c r="G13" i="4"/>
  <c r="G19" i="4"/>
  <c r="G20" i="4"/>
  <c r="G11" i="4"/>
  <c r="G10" i="4"/>
  <c r="G12" i="4"/>
  <c r="G7" i="4"/>
  <c r="G6" i="4"/>
  <c r="G14" i="4"/>
  <c r="G5" i="4"/>
  <c r="G17" i="4"/>
  <c r="G23" i="4"/>
  <c r="G21" i="4"/>
  <c r="G22" i="4"/>
  <c r="G8" i="4"/>
  <c r="G3" i="4"/>
  <c r="G18" i="4"/>
  <c r="G25" i="4"/>
  <c r="G16" i="4"/>
  <c r="G24" i="4"/>
  <c r="G15" i="4"/>
  <c r="G9" i="4"/>
  <c r="G4" i="4"/>
  <c r="Q3" i="3"/>
  <c r="R3" i="3"/>
  <c r="S3" i="3"/>
  <c r="Q10" i="3"/>
  <c r="R10" i="3"/>
  <c r="S10" i="3"/>
  <c r="Q9" i="3"/>
  <c r="R9" i="3"/>
  <c r="S9" i="3"/>
  <c r="Q20" i="3"/>
  <c r="R20" i="3"/>
  <c r="S20" i="3"/>
  <c r="Q16" i="3"/>
  <c r="R16" i="3"/>
  <c r="S16" i="3"/>
  <c r="Q6" i="3"/>
  <c r="R6" i="3"/>
  <c r="S6" i="3"/>
  <c r="Q25" i="3"/>
  <c r="R25" i="3"/>
  <c r="S25" i="3"/>
  <c r="Q21" i="3"/>
  <c r="R21" i="3"/>
  <c r="S21" i="3"/>
  <c r="Q19" i="3"/>
  <c r="R19" i="3"/>
  <c r="S19" i="3"/>
  <c r="Q7" i="3"/>
  <c r="R7" i="3"/>
  <c r="S7" i="3"/>
  <c r="Q11" i="3"/>
  <c r="R11" i="3"/>
  <c r="S11" i="3"/>
  <c r="Q4" i="3"/>
  <c r="R4" i="3"/>
  <c r="S4" i="3"/>
  <c r="Q5" i="3"/>
  <c r="R5" i="3"/>
  <c r="S5" i="3"/>
  <c r="Q23" i="3"/>
  <c r="R23" i="3"/>
  <c r="S23" i="3"/>
  <c r="Q22" i="3"/>
  <c r="R22" i="3"/>
  <c r="S22" i="3"/>
  <c r="Q24" i="3"/>
  <c r="R24" i="3"/>
  <c r="S24" i="3"/>
  <c r="Q15" i="3"/>
  <c r="R15" i="3"/>
  <c r="S15" i="3"/>
  <c r="Q8" i="3"/>
  <c r="R8" i="3"/>
  <c r="S8" i="3"/>
  <c r="Q18" i="3"/>
  <c r="R18" i="3"/>
  <c r="S18" i="3"/>
  <c r="Q13" i="3"/>
  <c r="R13" i="3"/>
  <c r="S13" i="3"/>
  <c r="Q14" i="3"/>
  <c r="R14" i="3"/>
  <c r="S14" i="3"/>
  <c r="Q17" i="3"/>
  <c r="R17" i="3"/>
  <c r="S17" i="3"/>
  <c r="R12" i="3"/>
  <c r="S12" i="3"/>
  <c r="Q12" i="3"/>
  <c r="L12" i="3"/>
  <c r="L18" i="3"/>
  <c r="L13" i="3"/>
  <c r="L14" i="3"/>
  <c r="L17" i="3"/>
  <c r="L3" i="3"/>
  <c r="L10" i="3"/>
  <c r="L9" i="3"/>
  <c r="L20" i="3"/>
  <c r="L16" i="3"/>
  <c r="L6" i="3"/>
  <c r="L25" i="3"/>
  <c r="L21" i="3"/>
  <c r="L19" i="3"/>
  <c r="L7" i="3"/>
  <c r="L11" i="3"/>
  <c r="L4" i="3"/>
  <c r="L5" i="3"/>
  <c r="L23" i="3"/>
  <c r="L22" i="3"/>
  <c r="L24" i="3"/>
  <c r="L15" i="3"/>
  <c r="L8" i="3"/>
  <c r="L2" i="3"/>
  <c r="K2" i="3"/>
  <c r="K18" i="3"/>
  <c r="K13" i="3"/>
  <c r="K14" i="3"/>
  <c r="K17" i="3"/>
  <c r="K3" i="3"/>
  <c r="K10" i="3"/>
  <c r="K9" i="3"/>
  <c r="K20" i="3"/>
  <c r="K16" i="3"/>
  <c r="K6" i="3"/>
  <c r="K25" i="3"/>
  <c r="K21" i="3"/>
  <c r="K19" i="3"/>
  <c r="K7" i="3"/>
  <c r="K11" i="3"/>
  <c r="K4" i="3"/>
  <c r="K5" i="3"/>
  <c r="K23" i="3"/>
  <c r="K22" i="3"/>
  <c r="K24" i="3"/>
  <c r="K15" i="3"/>
  <c r="K8" i="3"/>
  <c r="K12" i="3"/>
  <c r="T11" i="3" l="1"/>
  <c r="E13" i="5" s="1"/>
  <c r="T18" i="3"/>
  <c r="T12" i="3"/>
  <c r="C6" i="5"/>
  <c r="D3" i="5"/>
  <c r="U8" i="3"/>
  <c r="T23" i="3"/>
  <c r="T7" i="3"/>
  <c r="E3" i="5" s="1"/>
  <c r="K29" i="3"/>
  <c r="U6" i="3"/>
  <c r="U9" i="3"/>
  <c r="F8" i="5" s="1"/>
  <c r="T3" i="3"/>
  <c r="T19" i="3"/>
  <c r="T14" i="3"/>
  <c r="U15" i="3"/>
  <c r="T6" i="3"/>
  <c r="E14" i="5" s="1"/>
  <c r="T17" i="3"/>
  <c r="E6" i="5" s="1"/>
  <c r="T8" i="3"/>
  <c r="T10" i="3"/>
  <c r="U5" i="3"/>
  <c r="U4" i="3"/>
  <c r="U17" i="3"/>
  <c r="F6" i="5" s="1"/>
  <c r="T15" i="3"/>
  <c r="T5" i="3"/>
  <c r="T16" i="3"/>
  <c r="T9" i="3"/>
  <c r="U13" i="3"/>
  <c r="U7" i="3"/>
  <c r="U19" i="3"/>
  <c r="U18" i="3"/>
  <c r="T13" i="3"/>
  <c r="T24" i="3"/>
  <c r="T21" i="3"/>
  <c r="T20" i="3"/>
  <c r="E16" i="5" s="1"/>
  <c r="T22" i="3"/>
  <c r="E18" i="5" s="1"/>
  <c r="U21" i="3"/>
  <c r="T4" i="3"/>
  <c r="U16" i="3"/>
  <c r="K28" i="3"/>
  <c r="U25" i="3"/>
  <c r="T25" i="3"/>
  <c r="E20" i="5" s="1"/>
  <c r="K27" i="3"/>
  <c r="U24" i="3"/>
  <c r="F24" i="5" s="1"/>
  <c r="U23" i="3"/>
  <c r="F9" i="5" s="1"/>
  <c r="U10" i="3"/>
  <c r="E23" i="5"/>
  <c r="U22" i="3"/>
  <c r="U11" i="3"/>
  <c r="U14" i="3"/>
  <c r="U20" i="3"/>
  <c r="U12" i="3"/>
  <c r="D9" i="5"/>
  <c r="D13" i="5"/>
  <c r="D18" i="5"/>
  <c r="D11" i="5"/>
  <c r="D19" i="5"/>
  <c r="D16" i="5"/>
  <c r="C16" i="5"/>
  <c r="C25" i="5"/>
  <c r="C5" i="5"/>
  <c r="D25" i="5"/>
  <c r="D20" i="5"/>
  <c r="D22" i="5"/>
  <c r="D17" i="5"/>
  <c r="D6" i="5"/>
  <c r="C22" i="5"/>
  <c r="C15" i="5"/>
  <c r="C19" i="5"/>
  <c r="C14" i="5"/>
  <c r="C18" i="5"/>
  <c r="C11" i="5"/>
  <c r="C8" i="5"/>
  <c r="C9" i="5"/>
  <c r="D24" i="5"/>
  <c r="D5" i="5"/>
  <c r="E17" i="5"/>
  <c r="C23" i="5"/>
  <c r="D23" i="5"/>
  <c r="D7" i="5"/>
  <c r="D12" i="5"/>
  <c r="D8" i="5"/>
  <c r="C12" i="5"/>
  <c r="C7" i="5"/>
  <c r="D15" i="5"/>
  <c r="D4" i="5"/>
  <c r="C3" i="5"/>
  <c r="D14" i="5"/>
  <c r="D21" i="5"/>
  <c r="C4" i="5"/>
  <c r="D10" i="5"/>
  <c r="C13" i="5"/>
  <c r="C21" i="5"/>
  <c r="E8" i="5"/>
  <c r="F3" i="5" l="1"/>
  <c r="F23" i="5"/>
  <c r="E22" i="5"/>
  <c r="F16" i="5"/>
  <c r="F18" i="5"/>
  <c r="G18" i="5" s="1"/>
  <c r="F10" i="5"/>
  <c r="F5" i="5"/>
  <c r="E25" i="5"/>
  <c r="F14" i="5"/>
  <c r="G14" i="5" s="1"/>
  <c r="F11" i="5"/>
  <c r="E15" i="5"/>
  <c r="F7" i="5"/>
  <c r="E7" i="5"/>
  <c r="E9" i="5"/>
  <c r="G9" i="5" s="1"/>
  <c r="F17" i="5"/>
  <c r="G17" i="5" s="1"/>
  <c r="E19" i="5"/>
  <c r="E5" i="5"/>
  <c r="F12" i="5"/>
  <c r="F20" i="5"/>
  <c r="E24" i="5"/>
  <c r="G24" i="5" s="1"/>
  <c r="E10" i="5"/>
  <c r="G10" i="5" s="1"/>
  <c r="F15" i="5"/>
  <c r="F4" i="5"/>
  <c r="E11" i="5"/>
  <c r="F25" i="5"/>
  <c r="F19" i="5"/>
  <c r="F22" i="5"/>
  <c r="E21" i="5"/>
  <c r="F13" i="5"/>
  <c r="G13" i="5" s="1"/>
  <c r="E12" i="5"/>
  <c r="E4" i="5"/>
  <c r="F21" i="5"/>
  <c r="G6" i="5"/>
  <c r="G3" i="5"/>
  <c r="G16" i="5"/>
  <c r="G20" i="5"/>
  <c r="G8" i="5"/>
  <c r="G23" i="5"/>
  <c r="G25" i="5" l="1"/>
  <c r="G22" i="5"/>
  <c r="G12" i="5"/>
  <c r="G4" i="5"/>
  <c r="G21" i="5"/>
  <c r="G7" i="5"/>
  <c r="G5" i="5"/>
  <c r="G15" i="5"/>
  <c r="G19" i="5"/>
  <c r="G11" i="5"/>
  <c r="H5" i="5" l="1"/>
  <c r="H6" i="5"/>
  <c r="H13" i="5"/>
  <c r="H15" i="5"/>
  <c r="H22" i="5"/>
  <c r="H16" i="5"/>
  <c r="H4" i="5"/>
  <c r="H9" i="5"/>
  <c r="H21" i="5"/>
  <c r="H12" i="5"/>
  <c r="H17" i="5"/>
  <c r="H10" i="5"/>
  <c r="H3" i="5"/>
  <c r="H24" i="5"/>
  <c r="H7" i="5"/>
  <c r="H23" i="5"/>
  <c r="H19" i="5"/>
  <c r="H14" i="5"/>
  <c r="H25" i="5"/>
  <c r="H8" i="5"/>
  <c r="H20" i="5"/>
  <c r="H11" i="5"/>
  <c r="H18" i="5"/>
</calcChain>
</file>

<file path=xl/sharedStrings.xml><?xml version="1.0" encoding="utf-8"?>
<sst xmlns="http://schemas.openxmlformats.org/spreadsheetml/2006/main" count="731" uniqueCount="255">
  <si>
    <t>Funds</t>
  </si>
  <si>
    <t>Rating</t>
  </si>
  <si>
    <t>1 Yr Ret (%)</t>
  </si>
  <si>
    <t>1 Yr Rank</t>
  </si>
  <si>
    <t>Riskometer</t>
  </si>
  <si>
    <t>Category</t>
  </si>
  <si>
    <t>Analysts' View</t>
  </si>
  <si>
    <t>Expense Ratio (%)</t>
  </si>
  <si>
    <t>Launch</t>
  </si>
  <si>
    <t>Net Assets (Cr)</t>
  </si>
  <si>
    <t>360 ONE Flexicap Fund - Regular Plan</t>
  </si>
  <si>
    <t>--</t>
  </si>
  <si>
    <t>79/100</t>
  </si>
  <si>
    <t>Very High</t>
  </si>
  <si>
    <t>EQ-FLX</t>
  </si>
  <si>
    <t>Unlock</t>
  </si>
  <si>
    <t>360 ONE Focused Fund - Regular Plan</t>
  </si>
  <si>
    <t>67/100</t>
  </si>
  <si>
    <t>Abakkus Flexi Cap Fund - Regular Plan</t>
  </si>
  <si>
    <t>Aditya Birla Sun Life Bal Bhavishya Yojna - Regular Plan</t>
  </si>
  <si>
    <t>21/100</t>
  </si>
  <si>
    <t>Aditya Birla Sun Life Flexi Cap Fund - Regular Plan</t>
  </si>
  <si>
    <t>9/100</t>
  </si>
  <si>
    <t>Aditya Birla Sun Life Focused Fund - Regular Plan</t>
  </si>
  <si>
    <t>7/100</t>
  </si>
  <si>
    <t>Aditya Birla Sun Life Retirement Fund - The 30s Plan - Regular Plan</t>
  </si>
  <si>
    <t>10/100</t>
  </si>
  <si>
    <t>Axis Flexi Cap Fund - Regular Plan</t>
  </si>
  <si>
    <t>59/100</t>
  </si>
  <si>
    <t>Axis Focused Fund</t>
  </si>
  <si>
    <t>62/100</t>
  </si>
  <si>
    <t>Bajaj Finserv Flexi Cap Fund - Regular Plan</t>
  </si>
  <si>
    <t>32/100</t>
  </si>
  <si>
    <t>Bandhan Flexi Cap Fund - Regular Plan</t>
  </si>
  <si>
    <t>18/100</t>
  </si>
  <si>
    <t>Bandhan Focused Fund - Regular Plan</t>
  </si>
  <si>
    <t>82/100</t>
  </si>
  <si>
    <t>Bank of India Flexi Cap Fund - Regular Plan</t>
  </si>
  <si>
    <t>70/100</t>
  </si>
  <si>
    <t>Baroda BNP Paribas Children's Fund - Regular Plan</t>
  </si>
  <si>
    <t>12/100</t>
  </si>
  <si>
    <t>Baroda BNP Paribas Flexi Cap Fund - Regular Plan</t>
  </si>
  <si>
    <t>64/100</t>
  </si>
  <si>
    <t>Baroda BNP Paribas Focused Fund - Regular Plan</t>
  </si>
  <si>
    <t>60/100</t>
  </si>
  <si>
    <t>Canara Robeco Flexi Cap Fund - Regular Plan</t>
  </si>
  <si>
    <t>23/100</t>
  </si>
  <si>
    <t>Canara Robeco Focused Fund - Regular Plan</t>
  </si>
  <si>
    <t>19/100</t>
  </si>
  <si>
    <t>Capitalmind Flexi Cap Fund - Regular Plan</t>
  </si>
  <si>
    <t>DSP Flexi Cap Fund - Regular Plan</t>
  </si>
  <si>
    <t>57/100</t>
  </si>
  <si>
    <t>DSP Focused Fund - Regular Plan</t>
  </si>
  <si>
    <t>20/100</t>
  </si>
  <si>
    <t>Edelweiss Flexi Cap Fund - Regular Plan</t>
  </si>
  <si>
    <t>17/100</t>
  </si>
  <si>
    <t>Edelweiss Focused Fund - Regular Plan</t>
  </si>
  <si>
    <t>42/100</t>
  </si>
  <si>
    <t>Franklin India Flexi Cap Fund - Regular Plan</t>
  </si>
  <si>
    <t>58/100</t>
  </si>
  <si>
    <t>Franklin India Focused Equity Fund - Regular Plan</t>
  </si>
  <si>
    <t>31/100</t>
  </si>
  <si>
    <t>HDFC Flexi Cap Fund - Regular Plan</t>
  </si>
  <si>
    <t>5/100</t>
  </si>
  <si>
    <t>HDFC Focused Fund - Regular Plan</t>
  </si>
  <si>
    <t>8/100</t>
  </si>
  <si>
    <t>HDFC Retirement Savings Fund Equity Plan - Regular Plan</t>
  </si>
  <si>
    <t>55/100</t>
  </si>
  <si>
    <t>Helios Flexi Cap Fund - Regular Plan</t>
  </si>
  <si>
    <t>22/100</t>
  </si>
  <si>
    <t>HSBC Flexi Cap Fund</t>
  </si>
  <si>
    <t>61/100</t>
  </si>
  <si>
    <t>HSBC Focused Fund - Regular Plan</t>
  </si>
  <si>
    <t>56/100</t>
  </si>
  <si>
    <t>ICICI Prudential Flexicap Fund</t>
  </si>
  <si>
    <t>14/100</t>
  </si>
  <si>
    <t>ICICI Prudential Focused Equity Fund</t>
  </si>
  <si>
    <t>1/100</t>
  </si>
  <si>
    <t>ICICI Prudential Retirement Fund - Pure Equity Plan</t>
  </si>
  <si>
    <t>4/100</t>
  </si>
  <si>
    <t>Invesco India Flexi Cap Fund - Regular Plan</t>
  </si>
  <si>
    <t>66/100</t>
  </si>
  <si>
    <t>Invesco India Focused Fund - Regular Plan</t>
  </si>
  <si>
    <t>93/100</t>
  </si>
  <si>
    <t>ITI Flexi Cap Fund - Regular Plan</t>
  </si>
  <si>
    <t>41/100</t>
  </si>
  <si>
    <t>ITI Focused Fund - Regular Plan</t>
  </si>
  <si>
    <t>11/100</t>
  </si>
  <si>
    <t>JM Flexicap Fund</t>
  </si>
  <si>
    <t>98/100</t>
  </si>
  <si>
    <t>JM Focused Fund</t>
  </si>
  <si>
    <t>76/100</t>
  </si>
  <si>
    <t>Kotak Flexicap Fund - Regular Plan</t>
  </si>
  <si>
    <t>6/100</t>
  </si>
  <si>
    <t>Kotak Focused Fund - Regular Plan</t>
  </si>
  <si>
    <t>2/100</t>
  </si>
  <si>
    <t>LIC MF Children's Fund</t>
  </si>
  <si>
    <t>99/100</t>
  </si>
  <si>
    <t>LIC MF Flexi Cap Fund</t>
  </si>
  <si>
    <t>78/100</t>
  </si>
  <si>
    <t>LIC MF Focused Fund - Regular Plan</t>
  </si>
  <si>
    <t>84/100</t>
  </si>
  <si>
    <t>Mahindra Manulife Flexi Cap Fund - Regular Plan</t>
  </si>
  <si>
    <t>37/100</t>
  </si>
  <si>
    <t>Mahindra Manulife Focused Fund - Regular Plan</t>
  </si>
  <si>
    <t>47/100</t>
  </si>
  <si>
    <t>Mirae Asset Flexi Cap Fund - Regular Plan</t>
  </si>
  <si>
    <t>13/100</t>
  </si>
  <si>
    <t>Mirae Asset Focused Fund - Regular Plan</t>
  </si>
  <si>
    <t>75/100</t>
  </si>
  <si>
    <t>Motilal Oswal Flexi Cap Fund - Regular Plan</t>
  </si>
  <si>
    <t>73/100</t>
  </si>
  <si>
    <t>Motilal Oswal Focused Fund - Regular Plan</t>
  </si>
  <si>
    <t>81/100</t>
  </si>
  <si>
    <t>Navi Flexi Cap Fund - Regular Plan</t>
  </si>
  <si>
    <t>54/100</t>
  </si>
  <si>
    <t>Nippon India Flexi Cap Fund - Regular Plan</t>
  </si>
  <si>
    <t>69/100</t>
  </si>
  <si>
    <t>Nippon India Focused Fund</t>
  </si>
  <si>
    <t>16/100</t>
  </si>
  <si>
    <t>Nippon India Retirement Fund - Wealth Creation Scheme</t>
  </si>
  <si>
    <t>71/100</t>
  </si>
  <si>
    <t>NJ Flexi Cap Fund - Regular Plan</t>
  </si>
  <si>
    <t>95/100</t>
  </si>
  <si>
    <t>Old Bridge Focused Fund - Regular Plan</t>
  </si>
  <si>
    <t>15/100</t>
  </si>
  <si>
    <t>Parag Parikh Flexi Cap Fund - Regular Plan</t>
  </si>
  <si>
    <t>44/100</t>
  </si>
  <si>
    <t>PGIM India Flexi Cap Fund - Regular Plan</t>
  </si>
  <si>
    <t>53/100</t>
  </si>
  <si>
    <t>Quant Flexi Cap Fund</t>
  </si>
  <si>
    <t>92/100</t>
  </si>
  <si>
    <t>Samco Flexi Cap Fund - Regular Plan</t>
  </si>
  <si>
    <t>100/100</t>
  </si>
  <si>
    <t>SBI Flexicap Fund</t>
  </si>
  <si>
    <t>65/100</t>
  </si>
  <si>
    <t>SBI Focused Fund</t>
  </si>
  <si>
    <t>3/100</t>
  </si>
  <si>
    <t>SBI Retirement Benefit Fund - Aggressive Plan - Regular Plan</t>
  </si>
  <si>
    <t>72/100</t>
  </si>
  <si>
    <t>Shriram Flexi Cap Fund - Regular Plan</t>
  </si>
  <si>
    <t>87/100</t>
  </si>
  <si>
    <t>Sundaram Flexi Cap Fund - Regular Plan</t>
  </si>
  <si>
    <t>30/100</t>
  </si>
  <si>
    <t>Sundaram Focused Fund</t>
  </si>
  <si>
    <t>74/100</t>
  </si>
  <si>
    <t>Tata Children's Fund - Regular Plan</t>
  </si>
  <si>
    <t>91/100</t>
  </si>
  <si>
    <t>Tata Flexi Cap Fund - Regular Plan</t>
  </si>
  <si>
    <t>24/100</t>
  </si>
  <si>
    <t>Tata Focused Fund - Regular Plan</t>
  </si>
  <si>
    <t>68/100</t>
  </si>
  <si>
    <t>Tata Retirement Savings Fund - Progressive Plan - Regular Plan</t>
  </si>
  <si>
    <t>83/100</t>
  </si>
  <si>
    <t>Taurus Flexi Cap Fund - Regular Plan</t>
  </si>
  <si>
    <t>94/100</t>
  </si>
  <si>
    <t>The Wealth Company Flexi Cap Fund - Regular Plan</t>
  </si>
  <si>
    <t>TRUSTMF Flexi Cap Fund - Regular Plan</t>
  </si>
  <si>
    <t>86/100</t>
  </si>
  <si>
    <t>Unifi Flexi Cap Fund - Regular Plan</t>
  </si>
  <si>
    <t>Union Children's Fund - Regular Plan</t>
  </si>
  <si>
    <t>39/100</t>
  </si>
  <si>
    <t>Union Flexi Cap Fund</t>
  </si>
  <si>
    <t>48/100</t>
  </si>
  <si>
    <t>Union Focused Fund - Regular Plan</t>
  </si>
  <si>
    <t>77/100</t>
  </si>
  <si>
    <t>Union Retirement Fund - Regular Plan</t>
  </si>
  <si>
    <t>28/100</t>
  </si>
  <si>
    <t>UTI Children's Equity Fund - Regular Plan</t>
  </si>
  <si>
    <t>63/100</t>
  </si>
  <si>
    <t>UTI Flexi Cap Fund - Regular Plan</t>
  </si>
  <si>
    <t>80/100</t>
  </si>
  <si>
    <t>UTI Focused Fund - Regular Plan</t>
  </si>
  <si>
    <t>52/100</t>
  </si>
  <si>
    <t>WhiteOak Capital Flexi Cap Fund - Regular Plan</t>
  </si>
  <si>
    <t>25/100</t>
  </si>
  <si>
    <t>Aditya Birla Sun Life Flexi Cap Fund - Growth ...</t>
  </si>
  <si>
    <t>Axis Flexi Cap Fund - Regular Plan - Growth</t>
  </si>
  <si>
    <t>BANDHAN Flexi Cap Fund - Regular Plan - Growth</t>
  </si>
  <si>
    <t>CANARA ROBECO FLEXICAP FUND - REGULAR PLAN - G...</t>
  </si>
  <si>
    <t>DSP Flexi Cap Fund - Regular Plan - Growth</t>
  </si>
  <si>
    <t>Edelweiss Flexi Cap Fund - Regular Plan - Grow...</t>
  </si>
  <si>
    <t>Franklin India Flexi Cap Fund - Growth</t>
  </si>
  <si>
    <t>HDFC Flexi Cap Fund - Growth Plan</t>
  </si>
  <si>
    <t>HSBC Flexi Cap Fund - Regular Growth</t>
  </si>
  <si>
    <t>JM Flexicap Fund (Regular) - Growth option</t>
  </si>
  <si>
    <t>Kotak Flexicap Fund - Growth</t>
  </si>
  <si>
    <t>LIC MF Flexi Cap Fund-Regular Plan-Growth</t>
  </si>
  <si>
    <t>Motilal Oswal Flexi Cap Fund Regular Plan-Grow...</t>
  </si>
  <si>
    <t>Navi Flexi Cap Fund - Regular Plan - Growth</t>
  </si>
  <si>
    <t>PGIM India Flexi Cap Fund - Regular Plan - Gro...</t>
  </si>
  <si>
    <t>Parag Parikh Flexi Cap Fund - Regular Plan - G...</t>
  </si>
  <si>
    <t>SBI Flexicap Fund - REGULAR PLAN -Growth Option</t>
  </si>
  <si>
    <t>Shriram Flexi Cap Fund - Regular Growth</t>
  </si>
  <si>
    <t>Tata Flexi Cap Fund -Regular Plan-Growth</t>
  </si>
  <si>
    <t>Taurus Flexi Cap Fund - Regular Plan - Growth</t>
  </si>
  <si>
    <t>UTI - Flexi Cap Fund-Growth Option</t>
  </si>
  <si>
    <t>Union Flexi Cap Fund - Growth Option</t>
  </si>
  <si>
    <t>quant Flexi Cap Fund - Growth Option - Regular...</t>
  </si>
  <si>
    <t>Fund</t>
  </si>
  <si>
    <t>Alpha</t>
  </si>
  <si>
    <t>Beta</t>
  </si>
  <si>
    <t>MorningStar opinion</t>
  </si>
  <si>
    <t>Neutral</t>
  </si>
  <si>
    <t>Bronze</t>
  </si>
  <si>
    <t>Under Review</t>
  </si>
  <si>
    <t>Negative</t>
  </si>
  <si>
    <t>Process</t>
  </si>
  <si>
    <t>Parent</t>
  </si>
  <si>
    <t>People</t>
  </si>
  <si>
    <t>Gold</t>
  </si>
  <si>
    <t>AA</t>
  </si>
  <si>
    <t>A</t>
  </si>
  <si>
    <t>BA</t>
  </si>
  <si>
    <t>L</t>
  </si>
  <si>
    <t>H</t>
  </si>
  <si>
    <t>Code</t>
  </si>
  <si>
    <t>Score</t>
  </si>
  <si>
    <t>Silver</t>
  </si>
  <si>
    <t>exam</t>
  </si>
  <si>
    <t>SD</t>
  </si>
  <si>
    <t>Sharpe</t>
  </si>
  <si>
    <t>Aditya Birla Sun Life Flexi Cap Fund - Growth - Regular Plan</t>
  </si>
  <si>
    <t>CANARA ROBECO FLEXICAP FUND - REGULAR PLAN - GROWTH OPTION</t>
  </si>
  <si>
    <t>Edelweiss Flexi Cap Fund - Regular Plan - Growth Option</t>
  </si>
  <si>
    <t>Motilal Oswal Flexi Cap Fund Regular Plan-Growth Option</t>
  </si>
  <si>
    <t>PGIM India Flexi Cap Fund - Regular Plan - Growth Option</t>
  </si>
  <si>
    <t>Parag Parikh Flexi Cap Fund - Regular Plan - Growth</t>
  </si>
  <si>
    <t xml:space="preserve">Taurus Flexi Cap Fund - Regular Plan - Growth </t>
  </si>
  <si>
    <t>quant Flexi Cap Fund - Growth Option - Regular Plan</t>
  </si>
  <si>
    <t>Mean Score</t>
  </si>
  <si>
    <t>SD Score</t>
  </si>
  <si>
    <t>Sharpe Score</t>
  </si>
  <si>
    <t>Returns</t>
  </si>
  <si>
    <t>Rank</t>
  </si>
  <si>
    <t>Net Assets (Cr)2</t>
  </si>
  <si>
    <t>MAX</t>
  </si>
  <si>
    <t>AVG</t>
  </si>
  <si>
    <t>MIN</t>
  </si>
  <si>
    <t>Data: Value Research</t>
  </si>
  <si>
    <t>Data: Morningstar.in</t>
  </si>
  <si>
    <t>Process Score</t>
  </si>
  <si>
    <t>People Score</t>
  </si>
  <si>
    <t>Parent Score</t>
  </si>
  <si>
    <t>Scoring Method</t>
  </si>
  <si>
    <t>Mean and Standard Deviation</t>
  </si>
  <si>
    <t>Management &amp; Organisation and Cost Structure</t>
  </si>
  <si>
    <t>Cost Structure Score</t>
  </si>
  <si>
    <t>Scoring Rubric</t>
  </si>
  <si>
    <t>Mgmt and Org Score</t>
  </si>
  <si>
    <t>Expense Ratio and AUM</t>
  </si>
  <si>
    <t>Flexi Cap Fund (full universe)</t>
  </si>
  <si>
    <t>Average Score</t>
  </si>
  <si>
    <t>Standard Deviation Score</t>
  </si>
  <si>
    <t>Returns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</si>
</sst>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"/>
    <numFmt numFmtId="165" formatCode="0.000000"/>
    <numFmt numFmtId="166" formatCode="_-* #,##0_-;\-* #,##0_-;_-* &quot;-&quot;??_-;_-@_-"/>
  </numFmts>
  <fonts count="5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8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theme="0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 applyFill="0" applyProtection="0"/>
    <xf numFmtId="43" fontId="3" fillId="0" borderId="0" applyFont="0" applyFill="0" applyBorder="0" applyAlignment="0" applyProtection="0"/>
  </cellStyleXfs>
  <cellXfs count="59">
    <xf numFmtId="0" fontId="0" fillId="0" borderId="0" xfId="0" applyFill="1" applyProtection="1"/>
    <xf numFmtId="0" fontId="1" fillId="2" borderId="1" xfId="0" applyFont="1" applyFill="1" applyBorder="1" applyProtection="1"/>
    <xf numFmtId="0" fontId="0" fillId="0" borderId="1" xfId="0" applyFill="1" applyBorder="1" applyProtection="1"/>
    <xf numFmtId="4" fontId="0" fillId="0" borderId="1" xfId="0" applyNumberFormat="1" applyFill="1" applyBorder="1" applyProtection="1"/>
    <xf numFmtId="164" fontId="0" fillId="0" borderId="1" xfId="0" applyNumberFormat="1" applyFill="1" applyBorder="1" applyProtection="1"/>
    <xf numFmtId="3" fontId="0" fillId="0" borderId="0" xfId="0" applyNumberFormat="1" applyFill="1" applyProtection="1"/>
    <xf numFmtId="14" fontId="0" fillId="0" borderId="0" xfId="0" applyNumberFormat="1" applyFill="1" applyProtection="1"/>
    <xf numFmtId="0" fontId="2" fillId="0" borderId="0" xfId="0" applyFont="1" applyFill="1" applyProtection="1"/>
    <xf numFmtId="2" fontId="0" fillId="0" borderId="0" xfId="0" applyNumberFormat="1" applyFill="1" applyProtection="1"/>
    <xf numFmtId="9" fontId="0" fillId="0" borderId="0" xfId="0" applyNumberFormat="1" applyFill="1" applyProtection="1"/>
    <xf numFmtId="0" fontId="0" fillId="0" borderId="3" xfId="0" applyFill="1" applyBorder="1" applyProtection="1"/>
    <xf numFmtId="0" fontId="2" fillId="0" borderId="2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2" fontId="0" fillId="0" borderId="3" xfId="0" applyNumberFormat="1" applyFill="1" applyBorder="1" applyProtection="1"/>
    <xf numFmtId="0" fontId="0" fillId="0" borderId="4" xfId="0" applyFill="1" applyBorder="1" applyProtection="1"/>
    <xf numFmtId="2" fontId="0" fillId="0" borderId="2" xfId="0" applyNumberFormat="1" applyFill="1" applyBorder="1" applyProtection="1"/>
    <xf numFmtId="2" fontId="0" fillId="0" borderId="4" xfId="0" applyNumberFormat="1" applyFill="1" applyBorder="1" applyProtection="1"/>
    <xf numFmtId="0" fontId="2" fillId="0" borderId="5" xfId="0" applyFont="1" applyFill="1" applyBorder="1" applyAlignment="1" applyProtection="1">
      <alignment horizontal="center"/>
    </xf>
    <xf numFmtId="0" fontId="0" fillId="0" borderId="6" xfId="0" applyFill="1" applyBorder="1" applyProtection="1"/>
    <xf numFmtId="0" fontId="0" fillId="0" borderId="2" xfId="0" applyFill="1" applyBorder="1" applyProtection="1"/>
    <xf numFmtId="0" fontId="2" fillId="0" borderId="2" xfId="0" applyFont="1" applyFill="1" applyBorder="1" applyProtection="1"/>
    <xf numFmtId="0" fontId="0" fillId="0" borderId="4" xfId="0" applyFill="1" applyBorder="1" applyAlignment="1" applyProtection="1">
      <alignment horizontal="center"/>
    </xf>
    <xf numFmtId="0" fontId="0" fillId="0" borderId="2" xfId="0" applyFill="1" applyBorder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4" fillId="0" borderId="0" xfId="0" applyFont="1" applyFill="1" applyProtection="1"/>
    <xf numFmtId="0" fontId="0" fillId="0" borderId="3" xfId="0" applyFill="1" applyBorder="1" applyAlignment="1" applyProtection="1">
      <alignment horizontal="center"/>
    </xf>
    <xf numFmtId="165" fontId="0" fillId="0" borderId="0" xfId="0" applyNumberFormat="1" applyFill="1" applyProtection="1"/>
    <xf numFmtId="165" fontId="0" fillId="0" borderId="3" xfId="0" applyNumberFormat="1" applyFill="1" applyBorder="1" applyProtection="1"/>
    <xf numFmtId="165" fontId="0" fillId="0" borderId="2" xfId="0" applyNumberFormat="1" applyFill="1" applyBorder="1" applyProtection="1"/>
    <xf numFmtId="165" fontId="0" fillId="0" borderId="4" xfId="0" applyNumberFormat="1" applyFill="1" applyBorder="1" applyProtection="1"/>
    <xf numFmtId="166" fontId="0" fillId="0" borderId="3" xfId="1" applyNumberFormat="1" applyFont="1" applyFill="1" applyBorder="1" applyProtection="1"/>
    <xf numFmtId="166" fontId="0" fillId="0" borderId="4" xfId="1" applyNumberFormat="1" applyFont="1" applyFill="1" applyBorder="1" applyProtection="1"/>
    <xf numFmtId="43" fontId="0" fillId="0" borderId="0" xfId="1" applyFont="1" applyFill="1" applyProtection="1"/>
    <xf numFmtId="43" fontId="0" fillId="0" borderId="0" xfId="1" applyFont="1" applyFill="1" applyBorder="1" applyProtection="1"/>
    <xf numFmtId="43" fontId="0" fillId="0" borderId="2" xfId="1" applyFont="1" applyFill="1" applyBorder="1" applyProtection="1"/>
    <xf numFmtId="0" fontId="1" fillId="2" borderId="7" xfId="0" applyFont="1" applyFill="1" applyBorder="1" applyProtection="1"/>
    <xf numFmtId="0" fontId="0" fillId="0" borderId="7" xfId="0" applyFill="1" applyBorder="1" applyProtection="1"/>
    <xf numFmtId="0" fontId="1" fillId="2" borderId="8" xfId="0" applyFont="1" applyFill="1" applyBorder="1" applyProtection="1"/>
    <xf numFmtId="0" fontId="0" fillId="0" borderId="8" xfId="0" applyFill="1" applyBorder="1" applyProtection="1"/>
    <xf numFmtId="0" fontId="0" fillId="0" borderId="9" xfId="0" applyFill="1" applyBorder="1" applyProtection="1"/>
    <xf numFmtId="4" fontId="0" fillId="0" borderId="9" xfId="0" applyNumberFormat="1" applyFill="1" applyBorder="1" applyProtection="1"/>
    <xf numFmtId="164" fontId="0" fillId="0" borderId="9" xfId="0" applyNumberFormat="1" applyFill="1" applyBorder="1" applyProtection="1"/>
    <xf numFmtId="3" fontId="0" fillId="0" borderId="9" xfId="0" applyNumberFormat="1" applyFill="1" applyBorder="1" applyProtection="1"/>
    <xf numFmtId="0" fontId="0" fillId="0" borderId="10" xfId="0" applyFill="1" applyBorder="1" applyProtection="1"/>
    <xf numFmtId="4" fontId="0" fillId="0" borderId="10" xfId="0" applyNumberFormat="1" applyFill="1" applyBorder="1" applyProtection="1"/>
    <xf numFmtId="164" fontId="0" fillId="0" borderId="10" xfId="0" applyNumberFormat="1" applyFill="1" applyBorder="1" applyProtection="1"/>
    <xf numFmtId="3" fontId="0" fillId="0" borderId="10" xfId="0" applyNumberFormat="1" applyFill="1" applyBorder="1" applyProtection="1"/>
    <xf numFmtId="0" fontId="0" fillId="0" borderId="11" xfId="0" applyFill="1" applyBorder="1" applyProtection="1"/>
    <xf numFmtId="4" fontId="0" fillId="0" borderId="11" xfId="0" applyNumberFormat="1" applyFill="1" applyBorder="1" applyProtection="1"/>
    <xf numFmtId="164" fontId="0" fillId="0" borderId="11" xfId="0" applyNumberFormat="1" applyFill="1" applyBorder="1" applyProtection="1"/>
    <xf numFmtId="3" fontId="0" fillId="0" borderId="11" xfId="0" applyNumberFormat="1" applyFill="1" applyBorder="1" applyProtection="1"/>
    <xf numFmtId="4" fontId="0" fillId="0" borderId="0" xfId="0" applyNumberFormat="1" applyFill="1" applyProtection="1"/>
    <xf numFmtId="164" fontId="0" fillId="0" borderId="3" xfId="0" applyNumberFormat="1" applyFill="1" applyBorder="1" applyProtection="1"/>
    <xf numFmtId="0" fontId="2" fillId="3" borderId="4" xfId="0" applyFont="1" applyFill="1" applyBorder="1" applyProtection="1"/>
    <xf numFmtId="0" fontId="2" fillId="3" borderId="2" xfId="0" applyFont="1" applyFill="1" applyBorder="1" applyProtection="1"/>
    <xf numFmtId="0" fontId="2" fillId="0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24">
    <dxf>
      <numFmt numFmtId="19" formatCode="dd/mm/yyyy"/>
    </dxf>
    <dxf>
      <numFmt numFmtId="3" formatCode="#,##0"/>
    </dxf>
    <dxf>
      <fill>
        <patternFill patternType="none">
          <fgColor indexed="64"/>
          <bgColor indexed="65"/>
        </patternFill>
      </fill>
      <protection locked="1" hidden="0"/>
    </dxf>
    <dxf>
      <numFmt numFmtId="19" formatCode="dd/mm/yyyy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165" formatCode="0.000000"/>
      <border diagonalUp="0" diagonalDown="0" outline="0">
        <left/>
        <right style="thin">
          <color indexed="64"/>
        </right>
      </border>
    </dxf>
    <dxf>
      <numFmt numFmtId="165" formatCode="0.000000"/>
    </dxf>
    <dxf>
      <numFmt numFmtId="165" formatCode="0.000000"/>
    </dxf>
    <dxf>
      <fill>
        <patternFill patternType="none">
          <fgColor indexed="64"/>
          <bgColor indexed="65"/>
        </patternFill>
      </fill>
      <protection locked="1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  <protection locked="1" hidden="0"/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589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</a:t>
            </a:r>
            <a:r>
              <a:rPr lang="en-IN" baseline="0"/>
              <a:t> Ratio vs Net AUM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'Extra I'!$F$2</c:f>
              <c:strCache>
                <c:ptCount val="1"/>
                <c:pt idx="0">
                  <c:v>Net Assets (Cr)2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'Extra I'!$D$3:$D$44</c:f>
              <c:numCache>
                <c:formatCode>General</c:formatCode>
                <c:ptCount val="23"/>
                <c:pt idx="0">
                  <c:v>1.65</c:v>
                </c:pt>
                <c:pt idx="1">
                  <c:v>1.72</c:v>
                </c:pt>
                <c:pt idx="2">
                  <c:v>1.85</c:v>
                </c:pt>
                <c:pt idx="3">
                  <c:v>1.69</c:v>
                </c:pt>
                <c:pt idx="4">
                  <c:v>1.72</c:v>
                </c:pt>
                <c:pt idx="5">
                  <c:v>1.89</c:v>
                </c:pt>
                <c:pt idx="6">
                  <c:v>1.69</c:v>
                </c:pt>
                <c:pt idx="7">
                  <c:v>1.33</c:v>
                </c:pt>
                <c:pt idx="8">
                  <c:v>1.93</c:v>
                </c:pt>
                <c:pt idx="9">
                  <c:v>1.82</c:v>
                </c:pt>
                <c:pt idx="10">
                  <c:v>1.44</c:v>
                </c:pt>
                <c:pt idx="11">
                  <c:v>2.27</c:v>
                </c:pt>
                <c:pt idx="12">
                  <c:v>1.71</c:v>
                </c:pt>
                <c:pt idx="13">
                  <c:v>2.23</c:v>
                </c:pt>
                <c:pt idx="14">
                  <c:v>1.28</c:v>
                </c:pt>
                <c:pt idx="15">
                  <c:v>1.78</c:v>
                </c:pt>
                <c:pt idx="16">
                  <c:v>1.82</c:v>
                </c:pt>
                <c:pt idx="17">
                  <c:v>1.66</c:v>
                </c:pt>
                <c:pt idx="18">
                  <c:v>2.39</c:v>
                </c:pt>
                <c:pt idx="19">
                  <c:v>1.89</c:v>
                </c:pt>
                <c:pt idx="20">
                  <c:v>2.64</c:v>
                </c:pt>
                <c:pt idx="21">
                  <c:v>2.02</c:v>
                </c:pt>
                <c:pt idx="22">
                  <c:v>1.67</c:v>
                </c:pt>
              </c:numCache>
            </c:numRef>
          </c:xVal>
          <c:yVal>
            <c:numRef>
              <c:f>'Extra I'!$F$3:$F$44</c:f>
            </c:numRef>
          </c:yVal>
          <c:smooth val="0"/>
          <c:extLst>
            <c:ext xmlns:c16="http://schemas.microsoft.com/office/drawing/2014/chart" uri="{C3380CC4-5D6E-409C-BE32-E72D297353CC}">
              <c16:uniqueId val="{00000000-53C7-479C-90AC-304D40C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634352"/>
        <c:axId val="2022637232"/>
      </c:scatterChart>
      <c:valAx>
        <c:axId val="202263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Expense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37232"/>
        <c:crosses val="autoZero"/>
        <c:crossBetween val="midCat"/>
      </c:valAx>
      <c:valAx>
        <c:axId val="20226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Assets</a:t>
                </a:r>
                <a:r>
                  <a:rPr lang="en-IN" baseline="0"/>
                  <a:t> (Cr)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3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AUM</a:t>
            </a:r>
            <a:r>
              <a:rPr lang="en-US" baseline="0"/>
              <a:t> vs Expense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'Extra I'!$D$2</c:f>
              <c:strCache>
                <c:ptCount val="1"/>
                <c:pt idx="0">
                  <c:v>Expense Ratio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'Extra I'!$C$3:$C$44</c:f>
              <c:numCache>
                <c:formatCode>#,##0</c:formatCode>
                <c:ptCount val="23"/>
                <c:pt idx="0">
                  <c:v>25098</c:v>
                </c:pt>
                <c:pt idx="1">
                  <c:v>13026</c:v>
                </c:pt>
                <c:pt idx="2">
                  <c:v>7708</c:v>
                </c:pt>
                <c:pt idx="3">
                  <c:v>13760</c:v>
                </c:pt>
                <c:pt idx="4">
                  <c:v>12328</c:v>
                </c:pt>
                <c:pt idx="5">
                  <c:v>3127</c:v>
                </c:pt>
                <c:pt idx="6">
                  <c:v>19972</c:v>
                </c:pt>
                <c:pt idx="7">
                  <c:v>96295</c:v>
                </c:pt>
                <c:pt idx="8">
                  <c:v>5227</c:v>
                </c:pt>
                <c:pt idx="9">
                  <c:v>5463</c:v>
                </c:pt>
                <c:pt idx="10">
                  <c:v>56460</c:v>
                </c:pt>
                <c:pt idx="11">
                  <c:v>1063</c:v>
                </c:pt>
                <c:pt idx="12">
                  <c:v>13862</c:v>
                </c:pt>
                <c:pt idx="13">
                  <c:v>263</c:v>
                </c:pt>
                <c:pt idx="14">
                  <c:v>133309</c:v>
                </c:pt>
                <c:pt idx="15">
                  <c:v>6268</c:v>
                </c:pt>
                <c:pt idx="16">
                  <c:v>6700</c:v>
                </c:pt>
                <c:pt idx="17">
                  <c:v>23685</c:v>
                </c:pt>
                <c:pt idx="18">
                  <c:v>137</c:v>
                </c:pt>
                <c:pt idx="19">
                  <c:v>3699</c:v>
                </c:pt>
                <c:pt idx="20">
                  <c:v>357</c:v>
                </c:pt>
                <c:pt idx="21">
                  <c:v>2402</c:v>
                </c:pt>
                <c:pt idx="22">
                  <c:v>24903</c:v>
                </c:pt>
              </c:numCache>
            </c:numRef>
          </c:xVal>
          <c:yVal>
            <c:numRef>
              <c:f>'Extra I'!$D$3:$D$44</c:f>
              <c:numCache>
                <c:formatCode>General</c:formatCode>
                <c:ptCount val="23"/>
                <c:pt idx="0">
                  <c:v>1.65</c:v>
                </c:pt>
                <c:pt idx="1">
                  <c:v>1.72</c:v>
                </c:pt>
                <c:pt idx="2">
                  <c:v>1.85</c:v>
                </c:pt>
                <c:pt idx="3">
                  <c:v>1.69</c:v>
                </c:pt>
                <c:pt idx="4">
                  <c:v>1.72</c:v>
                </c:pt>
                <c:pt idx="5">
                  <c:v>1.89</c:v>
                </c:pt>
                <c:pt idx="6">
                  <c:v>1.69</c:v>
                </c:pt>
                <c:pt idx="7">
                  <c:v>1.33</c:v>
                </c:pt>
                <c:pt idx="8">
                  <c:v>1.93</c:v>
                </c:pt>
                <c:pt idx="9">
                  <c:v>1.82</c:v>
                </c:pt>
                <c:pt idx="10">
                  <c:v>1.44</c:v>
                </c:pt>
                <c:pt idx="11">
                  <c:v>2.27</c:v>
                </c:pt>
                <c:pt idx="12">
                  <c:v>1.71</c:v>
                </c:pt>
                <c:pt idx="13">
                  <c:v>2.23</c:v>
                </c:pt>
                <c:pt idx="14">
                  <c:v>1.28</c:v>
                </c:pt>
                <c:pt idx="15">
                  <c:v>1.78</c:v>
                </c:pt>
                <c:pt idx="16">
                  <c:v>1.82</c:v>
                </c:pt>
                <c:pt idx="17">
                  <c:v>1.66</c:v>
                </c:pt>
                <c:pt idx="18">
                  <c:v>2.39</c:v>
                </c:pt>
                <c:pt idx="19">
                  <c:v>1.89</c:v>
                </c:pt>
                <c:pt idx="20">
                  <c:v>2.64</c:v>
                </c:pt>
                <c:pt idx="21">
                  <c:v>2.02</c:v>
                </c:pt>
                <c:pt idx="22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7A-468D-ACB8-F5DDC6B01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170384"/>
        <c:axId val="625167504"/>
      </c:scatterChart>
      <c:valAx>
        <c:axId val="62517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Assets (Cr)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67504"/>
        <c:crosses val="autoZero"/>
        <c:crossBetween val="midCat"/>
      </c:valAx>
      <c:valAx>
        <c:axId val="6251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Expense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7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800100" dist="571500" dir="5400000" algn="ctr" rotWithShape="0">
        <a:schemeClr val="accent6">
          <a:alpha val="7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579120</xdr:colOff>
      <xdr:row>56</xdr:row>
      <xdr:rowOff>152400</xdr:rowOff>
    </xdr:from>
    <xdr:to>
      <xdr:col>11</xdr:col>
      <xdr:colOff>632460</xdr:colOff>
      <xdr:row>79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37CBD-4D91-7ED1-2600-F340FD22B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</xdr:row>
      <xdr:rowOff>83820</xdr:rowOff>
    </xdr:from>
    <xdr:to>
      <xdr:col>13</xdr:col>
      <xdr:colOff>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D2A025-5BF7-D5F0-2855-43A0663A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352697-9CDD-4891-A78B-083744DCD9B9}" name="Table3" displayName="Table3" ref="B2:H25" totalsRowShown="0" headerRowDxfId="23" dataDxfId="21" headerRowBorderDxfId="22" tableBorderDxfId="20">
  <autoFilter ref="B2:H25" xr:uid="{5B352697-9CDD-4891-A78B-083744DCD9B9}"/>
  <sortState xmlns:xlrd2="http://schemas.microsoft.com/office/spreadsheetml/2017/richdata2" ref="B3:H25">
    <sortCondition ref="H2:H25"/>
  </sortState>
  <tableColumns count="7">
    <tableColumn id="1" xr3:uid="{F2F8A8AE-EEC2-48F0-A835-0ABCE93C9C0E}" name="Fund" dataDxfId="19">
      <calculatedColumnFormula>'Analysis I'!B3</calculatedColumnFormula>
    </tableColumn>
    <tableColumn id="2" xr3:uid="{0FD70054-1C0C-4758-B1A7-5D4EC6901F4B}" name="Returns Score" dataDxfId="18">
      <calculatedColumnFormula>_xlfn.XLOOKUP($B3,'Analysis I'!$B$3:$B$25,'Analysis I'!F$3:F$25)</calculatedColumnFormula>
    </tableColumn>
    <tableColumn id="3" xr3:uid="{3A7DC994-054C-47B5-B8F3-2B14C9831A3E}" name="Standard Deviation Score" dataDxfId="17">
      <calculatedColumnFormula>_xlfn.XLOOKUP($B3,'Analysis I'!$B$3:$B$25,'Analysis I'!G$3:G$25)</calculatedColumnFormula>
    </tableColumn>
    <tableColumn id="4" xr3:uid="{35D7A41A-8BD6-49C9-A895-9266D9D931B2}" name="Mgmt and Org Score" dataDxfId="16">
      <calculatedColumnFormula>_xlfn.XLOOKUP($B3,'Analysis II'!$G$3:$G$25,'Analysis II'!T$3:T$25)</calculatedColumnFormula>
    </tableColumn>
    <tableColumn id="5" xr3:uid="{2C2803E1-7E3E-4C90-99CB-01E3DF356BF5}" name="Cost Structure Score" dataDxfId="15">
      <calculatedColumnFormula>_xlfn.XLOOKUP($B3,'Analysis II'!$G$3:$G$25,'Analysis II'!U$3:U$25)</calculatedColumnFormula>
    </tableColumn>
    <tableColumn id="6" xr3:uid="{85A9EDDD-072A-4A68-9B57-37A0672A858A}" name="Average Score" dataDxfId="14">
      <calculatedColumnFormula>AVERAGE(C3:F3)</calculatedColumnFormula>
    </tableColumn>
    <tableColumn id="7" xr3:uid="{0C1A1121-7F71-4CA1-9856-908ACCFA78C9}" name="Rank" dataDxfId="13">
      <calculatedColumnFormula>_xlfn.RANK.AVG(G3,$G$3:$G$25,0)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791A83-8EEC-4AC9-8748-E25242396E20}" name="Table4" displayName="Table4" ref="B2:H25" totalsRowShown="0" headerRowDxfId="12" dataDxfId="10" headerRowBorderDxfId="11">
  <autoFilter ref="B2:H25" xr:uid="{78791A83-8EEC-4AC9-8748-E25242396E20}"/>
  <sortState xmlns:xlrd2="http://schemas.microsoft.com/office/spreadsheetml/2017/richdata2" ref="B3:H25">
    <sortCondition descending="1" ref="E2:E25"/>
  </sortState>
  <tableColumns count="7">
    <tableColumn id="1" xr3:uid="{5DEC5E1E-22BB-44AE-9F60-BB6E838D1916}" name="Fund"/>
    <tableColumn id="2" xr3:uid="{526F74A9-6352-4A0A-90CF-2CE66AF9FBBC}" name="Returns" dataDxfId="9"/>
    <tableColumn id="3" xr3:uid="{C1521214-BF42-45D0-9A70-615AEB838EA3}" name="SD" dataDxfId="8"/>
    <tableColumn id="4" xr3:uid="{832FFBBF-A55F-4E34-8616-DFA411578FEA}" name="Sharpe" dataDxfId="7"/>
    <tableColumn id="5" xr3:uid="{29181B1B-AA5D-43DA-8FFA-CB3D05009C93}" name="Mean Score" dataDxfId="6">
      <calculatedColumnFormula>_xlfn.PERCENTRANK.INC(C$3:C$25,C3)*10</calculatedColumnFormula>
    </tableColumn>
    <tableColumn id="6" xr3:uid="{2D5AF4CE-63B0-4888-8B0E-AF6258085BFB}" name="SD Score" dataDxfId="5">
      <calculatedColumnFormula>10 - _xlfn.PERCENTRANK.INC(D$3:D$25,D3)*10</calculatedColumnFormula>
    </tableColumn>
    <tableColumn id="7" xr3:uid="{0125CA87-3545-474C-9701-1D2F460FBA3A}" name="Sharpe Score" dataDxfId="4">
      <calculatedColumnFormula>_xlfn.PERCENTRANK.INC(E$3:E$25,E3)*10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77E9A1-6E14-40CA-A33C-068BFEF2CD95}" name="Table2" displayName="Table2" ref="A2:D25" totalsRowShown="0">
  <autoFilter ref="A2:D25" xr:uid="{BD1D19B3-CC0E-4135-BBD4-F29522172851}"/>
  <tableColumns count="4">
    <tableColumn id="1" xr3:uid="{00000000-0010-0000-0300-000001000000}" name="Funds"/>
    <tableColumn id="2" xr3:uid="{00000000-0010-0000-0300-000002000000}" name="Expense Ratio (%)"/>
    <tableColumn id="3" xr3:uid="{00000000-0010-0000-0300-000003000000}" name="Launch" dataDxfId="3"/>
    <tableColumn id="4" xr3:uid="{00000000-0010-0000-0300-000004000000}" name="Net Assets (Cr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CE09A-4BBA-4696-867A-970C6FC31375}" name="Table1" displayName="Table1" ref="B2:F45" totalsRowShown="0" headerRowDxfId="2">
  <autoFilter ref="B2:F45" xr:uid="{8ECC380D-B28D-4FA0-882A-90458523B2A0}">
    <filterColumn colId="0">
      <filters>
        <filter val="Aditya Birla Sun Life Flexi Cap Fund - Regular Plan"/>
        <filter val="Axis Flexi Cap Fund - Regular Plan"/>
        <filter val="Bandhan Flexi Cap Fund - Regular Plan"/>
        <filter val="Canara Robeco Flexi Cap Fund - Regular Plan"/>
        <filter val="DSP Flexi Cap Fund - Regular Plan"/>
        <filter val="Edelweiss Flexi Cap Fund - Regular Plan"/>
        <filter val="Franklin India Flexi Cap Fund - Regular Plan"/>
        <filter val="HDFC Flexi Cap Fund - Regular Plan"/>
        <filter val="HSBC Flexi Cap Fund"/>
        <filter val="JM Flexicap Fund"/>
        <filter val="Kotak Flexicap Fund - Regular Plan"/>
        <filter val="LIC MF Flexi Cap Fund"/>
        <filter val="Motilal Oswal Flexi Cap Fund - Regular Plan"/>
        <filter val="Navi Flexi Cap Fund - Regular Plan"/>
        <filter val="Parag Parikh Flexi Cap Fund - Regular Plan"/>
        <filter val="PGIM India Flexi Cap Fund - Regular Plan"/>
        <filter val="Quant Flexi Cap Fund"/>
        <filter val="SBI Flexicap Fund"/>
        <filter val="Shriram Flexi Cap Fund - Regular Plan"/>
        <filter val="Tata Flexi Cap Fund - Regular Plan"/>
        <filter val="Taurus Flexi Cap Fund - Regular Plan"/>
        <filter val="Union Flexi Cap Fund"/>
        <filter val="UTI Flexi Cap Fund - Regular Plan"/>
      </filters>
    </filterColumn>
  </autoFilter>
  <tableColumns count="5">
    <tableColumn id="1" xr3:uid="{00000000-0010-0000-0100-000001000000}" name="Funds"/>
    <tableColumn id="5" xr3:uid="{9790ECE8-8F41-4C89-8E03-3C8FE1A9EA55}" name="Net Assets (Cr)" dataDxfId="1">
      <calculatedColumnFormula>Table1[[#This Row],[Net Assets (Cr)2]]</calculatedColumnFormula>
    </tableColumn>
    <tableColumn id="2" xr3:uid="{00000000-0010-0000-0100-000002000000}" name="Expense Ratio (%)"/>
    <tableColumn id="3" xr3:uid="{00000000-0010-0000-0100-000003000000}" name="Launch" dataDxfId="0"/>
    <tableColumn id="4" xr3:uid="{00000000-0010-0000-0100-000004000000}" name="Net Assets (Cr)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B25CE-B758-4BB8-ABA4-DB2C5B7A24CE}">
  <dimension ref="A1:H28"/>
  <sheetViews>
    <sheetView showGridLines="0" tabSelected="1" workbookViewId="0">
      <selection activeCell="B2" sqref="B2"/>
    </sheetView>
  </sheetViews>
  <sheetFormatPr defaultRowHeight="14.4" x14ac:dyDescent="0.3"/>
  <cols>
    <col min="2" max="2" width="60.21875" bestFit="1" customWidth="1"/>
    <col min="3" max="4" width="19.6640625" bestFit="1" customWidth="1"/>
    <col min="5" max="5" width="21" customWidth="1"/>
    <col min="6" max="8" width="19.6640625" bestFit="1" customWidth="1"/>
  </cols>
  <sheetData>
    <row r="1" spans="1:8" ht="23.4" x14ac:dyDescent="0.45">
      <c r="A1" s="24" t="s">
        <v>248</v>
      </c>
    </row>
    <row r="2" spans="1:8" x14ac:dyDescent="0.3">
      <c r="B2" s="12" t="s">
        <v>199</v>
      </c>
      <c r="C2" s="11" t="s">
        <v>254</v>
      </c>
      <c r="D2" s="11" t="s">
        <v>253</v>
      </c>
      <c r="E2" s="11" t="s">
        <v>249</v>
      </c>
      <c r="F2" s="11" t="s">
        <v>247</v>
      </c>
      <c r="G2" s="12" t="s">
        <v>252</v>
      </c>
      <c r="H2" s="17" t="s">
        <v>234</v>
      </c>
    </row>
    <row r="3" spans="1:8" x14ac:dyDescent="0.3">
      <c r="B3" s="10" t="str">
        <f>'Analysis I'!B3</f>
        <v>Parag Parikh Flexi Cap Fund - Regular Plan - Growth</v>
      </c>
      <c r="C3" s="8">
        <f>_xlfn.XLOOKUP($B3,'Analysis I'!$B$3:$B$25,'Analysis I'!F$3:F$25)</f>
        <v>9.5399999999999991</v>
      </c>
      <c r="D3" s="8">
        <f>_xlfn.XLOOKUP($B3,'Analysis I'!$B$3:$B$25,'Analysis I'!G$3:G$25)</f>
        <v>10</v>
      </c>
      <c r="E3" s="8">
        <f>_xlfn.XLOOKUP($B3,'Analysis II'!$G$3:$G$25,'Analysis II'!T$3:T$25)</f>
        <v>8</v>
      </c>
      <c r="F3" s="8">
        <f>_xlfn.XLOOKUP($B3,'Analysis II'!$G$3:$G$25,'Analysis II'!U$3:U$25)</f>
        <v>5.91</v>
      </c>
      <c r="G3" s="13">
        <f t="shared" ref="G3:G25" si="0">AVERAGE(C3:F3)</f>
        <v>8.3625000000000007</v>
      </c>
      <c r="H3" s="18">
        <f t="shared" ref="H3:H25" si="1">_xlfn.RANK.AVG(G3,$G$3:$G$25,0)</f>
        <v>1</v>
      </c>
    </row>
    <row r="4" spans="1:8" x14ac:dyDescent="0.3">
      <c r="B4" s="10" t="str">
        <f>'Analysis I'!B7</f>
        <v>Franklin India Flexi Cap Fund - Growth</v>
      </c>
      <c r="C4" s="8">
        <f>_xlfn.XLOOKUP($B4,'Analysis I'!$B$3:$B$25,'Analysis I'!F$3:F$25)</f>
        <v>8.18</v>
      </c>
      <c r="D4" s="8">
        <f>_xlfn.XLOOKUP($B4,'Analysis I'!$B$3:$B$25,'Analysis I'!G$3:G$25)</f>
        <v>3.6399999999999997</v>
      </c>
      <c r="E4" s="8">
        <f>_xlfn.XLOOKUP($B4,'Analysis II'!$G$3:$G$25,'Analysis II'!T$3:T$25)</f>
        <v>7.333333333333333</v>
      </c>
      <c r="F4" s="8">
        <f>_xlfn.XLOOKUP($B4,'Analysis II'!$G$3:$G$25,'Analysis II'!U$3:U$25)</f>
        <v>9.5500000000000007</v>
      </c>
      <c r="G4" s="13">
        <f t="shared" si="0"/>
        <v>7.1758333333333333</v>
      </c>
      <c r="H4" s="18">
        <f t="shared" si="1"/>
        <v>2</v>
      </c>
    </row>
    <row r="5" spans="1:8" x14ac:dyDescent="0.3">
      <c r="B5" s="10" t="str">
        <f>'Analysis I'!B12</f>
        <v>Edelweiss Flexi Cap Fund - Regular Plan - Growth Option</v>
      </c>
      <c r="C5" s="8">
        <f>_xlfn.XLOOKUP($B5,'Analysis I'!$B$3:$B$25,'Analysis I'!F$3:F$25)</f>
        <v>6.36</v>
      </c>
      <c r="D5" s="8">
        <f>_xlfn.XLOOKUP($B5,'Analysis I'!$B$3:$B$25,'Analysis I'!G$3:G$25)</f>
        <v>4.55</v>
      </c>
      <c r="E5" s="8">
        <f>_xlfn.XLOOKUP($B5,'Analysis II'!$G$3:$G$25,'Analysis II'!T$3:T$25)</f>
        <v>8.6666666666666661</v>
      </c>
      <c r="F5" s="8">
        <f>_xlfn.XLOOKUP($B5,'Analysis II'!$G$3:$G$25,'Analysis II'!U$3:U$25)</f>
        <v>8.64</v>
      </c>
      <c r="G5" s="13">
        <f t="shared" si="0"/>
        <v>7.0541666666666671</v>
      </c>
      <c r="H5" s="18">
        <f t="shared" si="1"/>
        <v>3</v>
      </c>
    </row>
    <row r="6" spans="1:8" x14ac:dyDescent="0.3">
      <c r="B6" s="10" t="str">
        <f>'Analysis I'!B10</f>
        <v>DSP Flexi Cap Fund - Regular Plan - Growth</v>
      </c>
      <c r="C6" s="8">
        <f>_xlfn.XLOOKUP($B6,'Analysis I'!$B$3:$B$25,'Analysis I'!F$3:F$25)</f>
        <v>6.8100000000000005</v>
      </c>
      <c r="D6" s="8">
        <f>_xlfn.XLOOKUP($B6,'Analysis I'!$B$3:$B$25,'Analysis I'!G$3:G$25)</f>
        <v>5.46</v>
      </c>
      <c r="E6" s="8">
        <f>_xlfn.XLOOKUP($B6,'Analysis II'!$G$3:$G$25,'Analysis II'!T$3:T$25)</f>
        <v>5.333333333333333</v>
      </c>
      <c r="F6" s="8">
        <f>_xlfn.XLOOKUP($B6,'Analysis II'!$G$3:$G$25,'Analysis II'!U$3:U$25)</f>
        <v>10</v>
      </c>
      <c r="G6" s="13">
        <f t="shared" si="0"/>
        <v>6.9008333333333329</v>
      </c>
      <c r="H6" s="18">
        <f t="shared" si="1"/>
        <v>4</v>
      </c>
    </row>
    <row r="7" spans="1:8" x14ac:dyDescent="0.3">
      <c r="B7" s="10" t="str">
        <f>'Analysis I'!B9</f>
        <v>Union Flexi Cap Fund - Growth Option</v>
      </c>
      <c r="C7" s="8">
        <f>_xlfn.XLOOKUP($B7,'Analysis I'!$B$3:$B$25,'Analysis I'!F$3:F$25)</f>
        <v>7.27</v>
      </c>
      <c r="D7" s="8">
        <f>_xlfn.XLOOKUP($B7,'Analysis I'!$B$3:$B$25,'Analysis I'!G$3:G$25)</f>
        <v>6.37</v>
      </c>
      <c r="E7" s="8">
        <f>_xlfn.XLOOKUP($B7,'Analysis II'!$G$3:$G$25,'Analysis II'!T$3:T$25)</f>
        <v>6</v>
      </c>
      <c r="F7" s="8">
        <f>_xlfn.XLOOKUP($B7,'Analysis II'!$G$3:$G$25,'Analysis II'!U$3:U$25)</f>
        <v>6.37</v>
      </c>
      <c r="G7" s="13">
        <f t="shared" si="0"/>
        <v>6.5025000000000004</v>
      </c>
      <c r="H7" s="18">
        <f t="shared" si="1"/>
        <v>5</v>
      </c>
    </row>
    <row r="8" spans="1:8" x14ac:dyDescent="0.3">
      <c r="B8" s="10" t="str">
        <f>'Analysis I'!B6</f>
        <v>HDFC Flexi Cap Fund - Growth Plan</v>
      </c>
      <c r="C8" s="8">
        <f>_xlfn.XLOOKUP($B8,'Analysis I'!$B$3:$B$25,'Analysis I'!F$3:F$25)</f>
        <v>8.629999999999999</v>
      </c>
      <c r="D8" s="8">
        <f>_xlfn.XLOOKUP($B8,'Analysis I'!$B$3:$B$25,'Analysis I'!G$3:G$25)</f>
        <v>2.7300000000000004</v>
      </c>
      <c r="E8" s="8">
        <f>_xlfn.XLOOKUP($B8,'Analysis II'!$G$3:$G$25,'Analysis II'!T$3:T$25)</f>
        <v>7.333333333333333</v>
      </c>
      <c r="F8" s="8">
        <f>_xlfn.XLOOKUP($B8,'Analysis II'!$G$3:$G$25,'Analysis II'!U$3:U$25)</f>
        <v>7.2799999999999994</v>
      </c>
      <c r="G8" s="13">
        <f t="shared" si="0"/>
        <v>6.4933333333333323</v>
      </c>
      <c r="H8" s="18">
        <f t="shared" si="1"/>
        <v>6</v>
      </c>
    </row>
    <row r="9" spans="1:8" x14ac:dyDescent="0.3">
      <c r="B9" s="10" t="str">
        <f>'Analysis I'!B20</f>
        <v>BANDHAN Flexi Cap Fund - Regular Plan - Growth</v>
      </c>
      <c r="C9" s="8">
        <f>_xlfn.XLOOKUP($B9,'Analysis I'!$B$3:$B$25,'Analysis I'!F$3:F$25)</f>
        <v>1.36</v>
      </c>
      <c r="D9" s="8">
        <f>_xlfn.XLOOKUP($B9,'Analysis I'!$B$3:$B$25,'Analysis I'!G$3:G$25)</f>
        <v>8.19</v>
      </c>
      <c r="E9" s="8">
        <f>_xlfn.XLOOKUP($B9,'Analysis II'!$G$3:$G$25,'Analysis II'!T$3:T$25)</f>
        <v>6.666666666666667</v>
      </c>
      <c r="F9" s="8">
        <f>_xlfn.XLOOKUP($B9,'Analysis II'!$G$3:$G$25,'Analysis II'!U$3:U$25)</f>
        <v>9.1</v>
      </c>
      <c r="G9" s="13">
        <f t="shared" si="0"/>
        <v>6.3291666666666657</v>
      </c>
      <c r="H9" s="18">
        <f t="shared" si="1"/>
        <v>7</v>
      </c>
    </row>
    <row r="10" spans="1:8" x14ac:dyDescent="0.3">
      <c r="B10" s="10" t="str">
        <f>'Analysis I'!B4</f>
        <v>quant Flexi Cap Fund - Growth Option - Regular Plan</v>
      </c>
      <c r="C10" s="8">
        <f>_xlfn.XLOOKUP($B10,'Analysis I'!$B$3:$B$25,'Analysis I'!F$3:F$25)</f>
        <v>10</v>
      </c>
      <c r="D10" s="8">
        <f>_xlfn.XLOOKUP($B10,'Analysis I'!$B$3:$B$25,'Analysis I'!G$3:G$25)</f>
        <v>0</v>
      </c>
      <c r="E10" s="8">
        <f>_xlfn.XLOOKUP($B10,'Analysis II'!$G$3:$G$25,'Analysis II'!T$3:T$25)</f>
        <v>8.6666666666666661</v>
      </c>
      <c r="F10" s="8">
        <f>_xlfn.XLOOKUP($B10,'Analysis II'!$G$3:$G$25,'Analysis II'!U$3:U$25)</f>
        <v>5.91</v>
      </c>
      <c r="G10" s="13">
        <f t="shared" si="0"/>
        <v>6.1441666666666661</v>
      </c>
      <c r="H10" s="18">
        <f t="shared" si="1"/>
        <v>8</v>
      </c>
    </row>
    <row r="11" spans="1:8" x14ac:dyDescent="0.3">
      <c r="B11" s="10" t="str">
        <f>'Analysis I'!B15</f>
        <v>UTI - Flexi Cap Fund-Growth Option</v>
      </c>
      <c r="C11" s="8">
        <f>_xlfn.XLOOKUP($B11,'Analysis I'!$B$3:$B$25,'Analysis I'!F$3:F$25)</f>
        <v>4.54</v>
      </c>
      <c r="D11" s="8">
        <f>_xlfn.XLOOKUP($B11,'Analysis I'!$B$3:$B$25,'Analysis I'!G$3:G$25)</f>
        <v>8.64</v>
      </c>
      <c r="E11" s="8">
        <f>_xlfn.XLOOKUP($B11,'Analysis II'!$G$3:$G$25,'Analysis II'!T$3:T$25)</f>
        <v>7.333333333333333</v>
      </c>
      <c r="F11" s="8">
        <f>_xlfn.XLOOKUP($B11,'Analysis II'!$G$3:$G$25,'Analysis II'!U$3:U$25)</f>
        <v>3.1899999999999995</v>
      </c>
      <c r="G11" s="13">
        <f t="shared" si="0"/>
        <v>5.9258333333333333</v>
      </c>
      <c r="H11" s="18">
        <f t="shared" si="1"/>
        <v>9</v>
      </c>
    </row>
    <row r="12" spans="1:8" x14ac:dyDescent="0.3">
      <c r="B12" s="10" t="str">
        <f>'Analysis I'!B18</f>
        <v>SBI Flexicap Fund - REGULAR PLAN -Growth Option</v>
      </c>
      <c r="C12" s="8">
        <f>_xlfn.XLOOKUP($B12,'Analysis I'!$B$3:$B$25,'Analysis I'!F$3:F$25)</f>
        <v>1.81</v>
      </c>
      <c r="D12" s="8">
        <f>_xlfn.XLOOKUP($B12,'Analysis I'!$B$3:$B$25,'Analysis I'!G$3:G$25)</f>
        <v>9.5500000000000007</v>
      </c>
      <c r="E12" s="8">
        <f>_xlfn.XLOOKUP($B12,'Analysis II'!$G$3:$G$25,'Analysis II'!T$3:T$25)</f>
        <v>8</v>
      </c>
      <c r="F12" s="8">
        <f>_xlfn.XLOOKUP($B12,'Analysis II'!$G$3:$G$25,'Analysis II'!U$3:U$25)</f>
        <v>3.6399999999999997</v>
      </c>
      <c r="G12" s="13">
        <f t="shared" si="0"/>
        <v>5.75</v>
      </c>
      <c r="H12" s="18">
        <f t="shared" si="1"/>
        <v>10</v>
      </c>
    </row>
    <row r="13" spans="1:8" x14ac:dyDescent="0.3">
      <c r="B13" s="10" t="str">
        <f>'Analysis I'!B8</f>
        <v>PGIM India Flexi Cap Fund - Regular Plan - Growth Option</v>
      </c>
      <c r="C13" s="8">
        <f>_xlfn.XLOOKUP($B13,'Analysis I'!$B$3:$B$25,'Analysis I'!F$3:F$25)</f>
        <v>7.7200000000000006</v>
      </c>
      <c r="D13" s="8">
        <f>_xlfn.XLOOKUP($B13,'Analysis I'!$B$3:$B$25,'Analysis I'!G$3:G$25)</f>
        <v>5.91</v>
      </c>
      <c r="E13" s="8">
        <f>_xlfn.XLOOKUP($B13,'Analysis II'!$G$3:$G$25,'Analysis II'!T$3:T$25)</f>
        <v>6.666666666666667</v>
      </c>
      <c r="F13" s="8">
        <f>_xlfn.XLOOKUP($B13,'Analysis II'!$G$3:$G$25,'Analysis II'!U$3:U$25)</f>
        <v>2.2799999999999994</v>
      </c>
      <c r="G13" s="13">
        <f t="shared" si="0"/>
        <v>5.644166666666667</v>
      </c>
      <c r="H13" s="18">
        <f t="shared" si="1"/>
        <v>11</v>
      </c>
    </row>
    <row r="14" spans="1:8" x14ac:dyDescent="0.3">
      <c r="B14" s="10" t="str">
        <f>'Analysis I'!B17</f>
        <v>Kotak Flexicap Fund - Growth</v>
      </c>
      <c r="C14" s="8">
        <f>_xlfn.XLOOKUP($B14,'Analysis I'!$B$3:$B$25,'Analysis I'!F$3:F$25)</f>
        <v>4.09</v>
      </c>
      <c r="D14" s="8">
        <f>_xlfn.XLOOKUP($B14,'Analysis I'!$B$3:$B$25,'Analysis I'!G$3:G$25)</f>
        <v>2.2799999999999994</v>
      </c>
      <c r="E14" s="8">
        <f>_xlfn.XLOOKUP($B14,'Analysis II'!$G$3:$G$25,'Analysis II'!T$3:T$25)</f>
        <v>8</v>
      </c>
      <c r="F14" s="8">
        <f>_xlfn.XLOOKUP($B14,'Analysis II'!$G$3:$G$25,'Analysis II'!U$3:U$25)</f>
        <v>7.2799999999999994</v>
      </c>
      <c r="G14" s="13">
        <f t="shared" si="0"/>
        <v>5.4124999999999996</v>
      </c>
      <c r="H14" s="18">
        <f t="shared" si="1"/>
        <v>12</v>
      </c>
    </row>
    <row r="15" spans="1:8" x14ac:dyDescent="0.3">
      <c r="B15" s="10" t="str">
        <f>'Analysis I'!B19</f>
        <v>Axis Flexi Cap Fund - Regular Plan - Growth</v>
      </c>
      <c r="C15" s="8">
        <f>_xlfn.XLOOKUP($B15,'Analysis I'!$B$3:$B$25,'Analysis I'!F$3:F$25)</f>
        <v>2.72</v>
      </c>
      <c r="D15" s="8">
        <f>_xlfn.XLOOKUP($B15,'Analysis I'!$B$3:$B$25,'Analysis I'!G$3:G$25)</f>
        <v>7.2799999999999994</v>
      </c>
      <c r="E15" s="8">
        <f>_xlfn.XLOOKUP($B15,'Analysis II'!$G$3:$G$25,'Analysis II'!T$3:T$25)</f>
        <v>5.333333333333333</v>
      </c>
      <c r="F15" s="8">
        <f>_xlfn.XLOOKUP($B15,'Analysis II'!$G$3:$G$25,'Analysis II'!U$3:U$25)</f>
        <v>5</v>
      </c>
      <c r="G15" s="13">
        <f t="shared" si="0"/>
        <v>5.083333333333333</v>
      </c>
      <c r="H15" s="18">
        <f t="shared" si="1"/>
        <v>13</v>
      </c>
    </row>
    <row r="16" spans="1:8" x14ac:dyDescent="0.3">
      <c r="B16" s="10" t="str">
        <f>'Analysis I'!B14</f>
        <v>HSBC Flexi Cap Fund - Regular Growth</v>
      </c>
      <c r="C16" s="8">
        <f>_xlfn.XLOOKUP($B16,'Analysis I'!$B$3:$B$25,'Analysis I'!F$3:F$25)</f>
        <v>5.8999999999999995</v>
      </c>
      <c r="D16" s="8">
        <f>_xlfn.XLOOKUP($B16,'Analysis I'!$B$3:$B$25,'Analysis I'!G$3:G$25)</f>
        <v>1.370000000000001</v>
      </c>
      <c r="E16" s="8">
        <f>_xlfn.XLOOKUP($B16,'Analysis II'!$G$3:$G$25,'Analysis II'!T$3:T$25)</f>
        <v>4.666666666666667</v>
      </c>
      <c r="F16" s="8">
        <f>_xlfn.XLOOKUP($B16,'Analysis II'!$G$3:$G$25,'Analysis II'!U$3:U$25)</f>
        <v>8.19</v>
      </c>
      <c r="G16" s="13">
        <f t="shared" si="0"/>
        <v>5.0316666666666663</v>
      </c>
      <c r="H16" s="18">
        <f t="shared" si="1"/>
        <v>14</v>
      </c>
    </row>
    <row r="17" spans="2:8" x14ac:dyDescent="0.3">
      <c r="B17" s="10" t="str">
        <f>'Analysis I'!B11</f>
        <v>CANARA ROBECO FLEXICAP FUND - REGULAR PLAN - GROWTH OPTION</v>
      </c>
      <c r="C17" s="8">
        <f>_xlfn.XLOOKUP($B17,'Analysis I'!$B$3:$B$25,'Analysis I'!F$3:F$25)</f>
        <v>5.45</v>
      </c>
      <c r="D17" s="8">
        <f>_xlfn.XLOOKUP($B17,'Analysis I'!$B$3:$B$25,'Analysis I'!G$3:G$25)</f>
        <v>7.73</v>
      </c>
      <c r="E17" s="8">
        <f>_xlfn.XLOOKUP($B17,'Analysis II'!$G$3:$G$25,'Analysis II'!T$3:T$25)</f>
        <v>6</v>
      </c>
      <c r="F17" s="8">
        <f>_xlfn.XLOOKUP($B17,'Analysis II'!$G$3:$G$25,'Analysis II'!U$3:U$25)</f>
        <v>0.91000000000000014</v>
      </c>
      <c r="G17" s="13">
        <f t="shared" si="0"/>
        <v>5.0225</v>
      </c>
      <c r="H17" s="18">
        <f t="shared" si="1"/>
        <v>15</v>
      </c>
    </row>
    <row r="18" spans="2:8" x14ac:dyDescent="0.3">
      <c r="B18" s="10" t="str">
        <f>'Analysis I'!B16</f>
        <v>Tata Flexi Cap Fund -Regular Plan-Growth</v>
      </c>
      <c r="C18" s="8">
        <f>_xlfn.XLOOKUP($B18,'Analysis I'!$B$3:$B$25,'Analysis I'!F$3:F$25)</f>
        <v>3.18</v>
      </c>
      <c r="D18" s="8">
        <f>_xlfn.XLOOKUP($B18,'Analysis I'!$B$3:$B$25,'Analysis I'!G$3:G$25)</f>
        <v>9.1</v>
      </c>
      <c r="E18" s="8">
        <f>_xlfn.XLOOKUP($B18,'Analysis II'!$G$3:$G$25,'Analysis II'!T$3:T$25)</f>
        <v>4</v>
      </c>
      <c r="F18" s="8">
        <f>_xlfn.XLOOKUP($B18,'Analysis II'!$G$3:$G$25,'Analysis II'!U$3:U$25)</f>
        <v>3.1899999999999995</v>
      </c>
      <c r="G18" s="13">
        <f t="shared" si="0"/>
        <v>4.8674999999999997</v>
      </c>
      <c r="H18" s="18">
        <f t="shared" si="1"/>
        <v>16</v>
      </c>
    </row>
    <row r="19" spans="2:8" x14ac:dyDescent="0.3">
      <c r="B19" s="10" t="str">
        <f>'Analysis I'!B13</f>
        <v>Aditya Birla Sun Life Flexi Cap Fund - Growth - Regular Plan</v>
      </c>
      <c r="C19" s="8">
        <f>_xlfn.XLOOKUP($B19,'Analysis I'!$B$3:$B$25,'Analysis I'!F$3:F$25)</f>
        <v>5</v>
      </c>
      <c r="D19" s="8">
        <f>_xlfn.XLOOKUP($B19,'Analysis I'!$B$3:$B$25,'Analysis I'!G$3:G$25)</f>
        <v>3.1899999999999995</v>
      </c>
      <c r="E19" s="8">
        <f>_xlfn.XLOOKUP($B19,'Analysis II'!$G$3:$G$25,'Analysis II'!T$3:T$25)</f>
        <v>6.666666666666667</v>
      </c>
      <c r="F19" s="8">
        <f>_xlfn.XLOOKUP($B19,'Analysis II'!$G$3:$G$25,'Analysis II'!U$3:U$25)</f>
        <v>4.55</v>
      </c>
      <c r="G19" s="13">
        <f t="shared" si="0"/>
        <v>4.8516666666666666</v>
      </c>
      <c r="H19" s="18">
        <f t="shared" si="1"/>
        <v>17</v>
      </c>
    </row>
    <row r="20" spans="2:8" x14ac:dyDescent="0.3">
      <c r="B20" s="10" t="str">
        <f>'Analysis I'!B23</f>
        <v>LIC MF Flexi Cap Fund-Regular Plan-Growth</v>
      </c>
      <c r="C20" s="8">
        <f>_xlfn.XLOOKUP($B20,'Analysis I'!$B$3:$B$25,'Analysis I'!F$3:F$25)</f>
        <v>0.44999999999999996</v>
      </c>
      <c r="D20" s="8">
        <f>_xlfn.XLOOKUP($B20,'Analysis I'!$B$3:$B$25,'Analysis I'!G$3:G$25)</f>
        <v>6.82</v>
      </c>
      <c r="E20" s="8">
        <f>_xlfn.XLOOKUP($B20,'Analysis II'!$G$3:$G$25,'Analysis II'!T$3:T$25)</f>
        <v>3.3333333333333335</v>
      </c>
      <c r="F20" s="8">
        <f>_xlfn.XLOOKUP($B20,'Analysis II'!$G$3:$G$25,'Analysis II'!U$3:U$25)</f>
        <v>7.73</v>
      </c>
      <c r="G20" s="13">
        <f t="shared" si="0"/>
        <v>4.5833333333333339</v>
      </c>
      <c r="H20" s="18">
        <f t="shared" si="1"/>
        <v>18</v>
      </c>
    </row>
    <row r="21" spans="2:8" x14ac:dyDescent="0.3">
      <c r="B21" s="10" t="str">
        <f>'Analysis I'!B5</f>
        <v>JM Flexicap Fund (Regular) - Growth option</v>
      </c>
      <c r="C21" s="8">
        <f>_xlfn.XLOOKUP($B21,'Analysis I'!$B$3:$B$25,'Analysis I'!F$3:F$25)</f>
        <v>9.09</v>
      </c>
      <c r="D21" s="8">
        <f>_xlfn.XLOOKUP($B21,'Analysis I'!$B$3:$B$25,'Analysis I'!G$3:G$25)</f>
        <v>0.91000000000000014</v>
      </c>
      <c r="E21" s="8">
        <f>_xlfn.XLOOKUP($B21,'Analysis II'!$G$3:$G$25,'Analysis II'!T$3:T$25)</f>
        <v>6</v>
      </c>
      <c r="F21" s="8">
        <f>_xlfn.XLOOKUP($B21,'Analysis II'!$G$3:$G$25,'Analysis II'!U$3:U$25)</f>
        <v>1.370000000000001</v>
      </c>
      <c r="G21" s="13">
        <f t="shared" si="0"/>
        <v>4.3425000000000002</v>
      </c>
      <c r="H21" s="18">
        <f t="shared" si="1"/>
        <v>19</v>
      </c>
    </row>
    <row r="22" spans="2:8" x14ac:dyDescent="0.3">
      <c r="B22" s="10" t="str">
        <f>'Analysis I'!B22</f>
        <v>Navi Flexi Cap Fund - Regular Plan - Growth</v>
      </c>
      <c r="C22" s="8">
        <f>_xlfn.XLOOKUP($B22,'Analysis I'!$B$3:$B$25,'Analysis I'!F$3:F$25)</f>
        <v>2.27</v>
      </c>
      <c r="D22" s="8">
        <f>_xlfn.XLOOKUP($B22,'Analysis I'!$B$3:$B$25,'Analysis I'!G$3:G$25)</f>
        <v>5</v>
      </c>
      <c r="E22" s="8">
        <f>_xlfn.XLOOKUP($B22,'Analysis II'!$G$3:$G$25,'Analysis II'!T$3:T$25)</f>
        <v>4.666666666666667</v>
      </c>
      <c r="F22" s="8">
        <f>_xlfn.XLOOKUP($B22,'Analysis II'!$G$3:$G$25,'Analysis II'!U$3:U$25)</f>
        <v>4.55</v>
      </c>
      <c r="G22" s="13">
        <f t="shared" si="0"/>
        <v>4.121666666666667</v>
      </c>
      <c r="H22" s="18">
        <f t="shared" si="1"/>
        <v>20</v>
      </c>
    </row>
    <row r="23" spans="2:8" x14ac:dyDescent="0.3">
      <c r="B23" s="10" t="str">
        <f>'Analysis I'!B21</f>
        <v>Motilal Oswal Flexi Cap Fund Regular Plan-Growth Option</v>
      </c>
      <c r="C23" s="8">
        <f>_xlfn.XLOOKUP($B23,'Analysis I'!$B$3:$B$25,'Analysis I'!F$3:F$25)</f>
        <v>3.63</v>
      </c>
      <c r="D23" s="8">
        <f>_xlfn.XLOOKUP($B23,'Analysis I'!$B$3:$B$25,'Analysis I'!G$3:G$25)</f>
        <v>0.46000000000000085</v>
      </c>
      <c r="E23" s="8">
        <f>_xlfn.XLOOKUP($B23,'Analysis II'!$G$3:$G$25,'Analysis II'!T$3:T$25)</f>
        <v>4</v>
      </c>
      <c r="F23" s="8">
        <f>_xlfn.XLOOKUP($B23,'Analysis II'!$G$3:$G$25,'Analysis II'!U$3:U$25)</f>
        <v>0.46000000000000085</v>
      </c>
      <c r="G23" s="13">
        <f t="shared" si="0"/>
        <v>2.1375000000000002</v>
      </c>
      <c r="H23" s="18">
        <f t="shared" si="1"/>
        <v>21</v>
      </c>
    </row>
    <row r="24" spans="2:8" x14ac:dyDescent="0.3">
      <c r="B24" s="10" t="str">
        <f>'Analysis I'!B24</f>
        <v xml:space="preserve">Taurus Flexi Cap Fund - Regular Plan - Growth </v>
      </c>
      <c r="C24" s="8">
        <f>_xlfn.XLOOKUP($B24,'Analysis I'!$B$3:$B$25,'Analysis I'!F$3:F$25)</f>
        <v>0.89999999999999991</v>
      </c>
      <c r="D24" s="8">
        <f>_xlfn.XLOOKUP($B24,'Analysis I'!$B$3:$B$25,'Analysis I'!G$3:G$25)</f>
        <v>1.8200000000000003</v>
      </c>
      <c r="E24" s="8">
        <f>_xlfn.XLOOKUP($B24,'Analysis II'!$G$3:$G$25,'Analysis II'!T$3:T$25)</f>
        <v>3.3333333333333335</v>
      </c>
      <c r="F24" s="8">
        <f>_xlfn.XLOOKUP($B24,'Analysis II'!$G$3:$G$25,'Analysis II'!U$3:U$25)</f>
        <v>1.8200000000000003</v>
      </c>
      <c r="G24" s="13">
        <f t="shared" si="0"/>
        <v>1.9683333333333335</v>
      </c>
      <c r="H24" s="18">
        <f t="shared" si="1"/>
        <v>22</v>
      </c>
    </row>
    <row r="25" spans="2:8" x14ac:dyDescent="0.3">
      <c r="B25" s="10" t="str">
        <f>'Analysis I'!B25</f>
        <v>Shriram Flexi Cap Fund - Regular Growth</v>
      </c>
      <c r="C25" s="8">
        <f>_xlfn.XLOOKUP($B25,'Analysis I'!$B$3:$B$25,'Analysis I'!F$3:F$25)</f>
        <v>0</v>
      </c>
      <c r="D25" s="8">
        <f>_xlfn.XLOOKUP($B25,'Analysis I'!$B$3:$B$25,'Analysis I'!G$3:G$25)</f>
        <v>4.1000000000000005</v>
      </c>
      <c r="E25" s="8">
        <f>_xlfn.XLOOKUP($B25,'Analysis II'!$G$3:$G$25,'Analysis II'!T$3:T$25)</f>
        <v>3.3333333333333335</v>
      </c>
      <c r="F25" s="8">
        <f>_xlfn.XLOOKUP($B25,'Analysis II'!$G$3:$G$25,'Analysis II'!U$3:U$25)</f>
        <v>0</v>
      </c>
      <c r="G25" s="13">
        <f t="shared" si="0"/>
        <v>1.8583333333333334</v>
      </c>
      <c r="H25" s="18">
        <f t="shared" si="1"/>
        <v>23</v>
      </c>
    </row>
    <row r="26" spans="2:8" x14ac:dyDescent="0.3">
      <c r="C26" s="7"/>
      <c r="D26" s="7"/>
      <c r="E26" s="7"/>
      <c r="F26" s="7"/>
      <c r="G26" s="7"/>
      <c r="H26" s="7"/>
    </row>
    <row r="28" spans="2:8" x14ac:dyDescent="0.3">
      <c r="C28" s="7"/>
    </row>
  </sheetData>
  <conditionalFormatting sqref="C3:C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BF29-0719-4EE4-BB14-DD7B78E5A391}">
  <dimension ref="A1:H26"/>
  <sheetViews>
    <sheetView showGridLines="0" workbookViewId="0"/>
  </sheetViews>
  <sheetFormatPr defaultRowHeight="14.4" x14ac:dyDescent="0.3"/>
  <cols>
    <col min="2" max="2" width="60.21875" bestFit="1" customWidth="1"/>
    <col min="3" max="5" width="12" bestFit="1" customWidth="1"/>
    <col min="6" max="6" width="14.21875" customWidth="1"/>
    <col min="7" max="7" width="14.44140625" customWidth="1"/>
    <col min="8" max="8" width="13.88671875" customWidth="1"/>
  </cols>
  <sheetData>
    <row r="1" spans="1:8" ht="23.4" x14ac:dyDescent="0.45">
      <c r="A1" s="24" t="s">
        <v>245</v>
      </c>
    </row>
    <row r="2" spans="1:8" x14ac:dyDescent="0.3">
      <c r="B2" s="21" t="s">
        <v>199</v>
      </c>
      <c r="C2" s="11" t="s">
        <v>233</v>
      </c>
      <c r="D2" s="22" t="s">
        <v>220</v>
      </c>
      <c r="E2" s="21" t="s">
        <v>221</v>
      </c>
      <c r="F2" s="11" t="s">
        <v>230</v>
      </c>
      <c r="G2" s="11" t="s">
        <v>231</v>
      </c>
      <c r="H2" s="11" t="s">
        <v>232</v>
      </c>
    </row>
    <row r="3" spans="1:8" x14ac:dyDescent="0.3">
      <c r="B3" s="10" t="s">
        <v>227</v>
      </c>
      <c r="C3" s="26">
        <v>0.20322351061997801</v>
      </c>
      <c r="D3" s="26">
        <v>0.13427476510948699</v>
      </c>
      <c r="E3" s="27">
        <v>1.01451311800026</v>
      </c>
      <c r="F3" s="8">
        <f t="shared" ref="F3:F25" si="0">_xlfn.PERCENTRANK.INC(C$3:C$25,C3)*10</f>
        <v>9.5399999999999991</v>
      </c>
      <c r="G3" s="8">
        <f t="shared" ref="G3:G25" si="1">10 - _xlfn.PERCENTRANK.INC(D$3:D$25,D3)*10</f>
        <v>10</v>
      </c>
      <c r="H3" s="8">
        <f t="shared" ref="H3:H25" si="2">_xlfn.PERCENTRANK.INC(E$3:E$25,E3)*10</f>
        <v>10</v>
      </c>
    </row>
    <row r="4" spans="1:8" x14ac:dyDescent="0.3">
      <c r="B4" s="10" t="s">
        <v>229</v>
      </c>
      <c r="C4" s="26">
        <v>0.23563362139778399</v>
      </c>
      <c r="D4" s="26">
        <v>0.18751201244767801</v>
      </c>
      <c r="E4" s="27">
        <v>0.89932169782903004</v>
      </c>
      <c r="F4" s="8">
        <f t="shared" si="0"/>
        <v>10</v>
      </c>
      <c r="G4" s="8">
        <f t="shared" si="1"/>
        <v>0</v>
      </c>
      <c r="H4" s="8">
        <f t="shared" si="2"/>
        <v>9.5399999999999991</v>
      </c>
    </row>
    <row r="5" spans="1:8" x14ac:dyDescent="0.3">
      <c r="B5" s="10" t="s">
        <v>185</v>
      </c>
      <c r="C5" s="26">
        <v>0.200580819905568</v>
      </c>
      <c r="D5" s="26">
        <v>0.17904217836386199</v>
      </c>
      <c r="E5" s="27">
        <v>0.74608576105511804</v>
      </c>
      <c r="F5" s="8">
        <f t="shared" si="0"/>
        <v>9.09</v>
      </c>
      <c r="G5" s="8">
        <f t="shared" si="1"/>
        <v>0.91000000000000014</v>
      </c>
      <c r="H5" s="8">
        <f t="shared" si="2"/>
        <v>9.09</v>
      </c>
    </row>
    <row r="6" spans="1:8" x14ac:dyDescent="0.3">
      <c r="B6" s="10" t="s">
        <v>183</v>
      </c>
      <c r="C6" s="26">
        <v>0.18572544193912699</v>
      </c>
      <c r="D6" s="26">
        <v>0.16991155865952201</v>
      </c>
      <c r="E6" s="27">
        <v>0.69874847170953902</v>
      </c>
      <c r="F6" s="8">
        <f t="shared" si="0"/>
        <v>8.629999999999999</v>
      </c>
      <c r="G6" s="8">
        <f t="shared" si="1"/>
        <v>2.7300000000000004</v>
      </c>
      <c r="H6" s="8">
        <f t="shared" si="2"/>
        <v>8.629999999999999</v>
      </c>
    </row>
    <row r="7" spans="1:8" x14ac:dyDescent="0.3">
      <c r="B7" s="10" t="s">
        <v>182</v>
      </c>
      <c r="C7" s="26">
        <v>0.17442253835340599</v>
      </c>
      <c r="D7" s="26">
        <v>0.16811446236473301</v>
      </c>
      <c r="E7" s="27">
        <v>0.63898451592074901</v>
      </c>
      <c r="F7" s="8">
        <f t="shared" si="0"/>
        <v>8.18</v>
      </c>
      <c r="G7" s="8">
        <f t="shared" si="1"/>
        <v>3.6399999999999997</v>
      </c>
      <c r="H7" s="8">
        <f t="shared" si="2"/>
        <v>8.18</v>
      </c>
    </row>
    <row r="8" spans="1:8" x14ac:dyDescent="0.3">
      <c r="B8" s="10" t="s">
        <v>226</v>
      </c>
      <c r="C8" s="26">
        <v>0.168504760177493</v>
      </c>
      <c r="D8" s="26">
        <v>0.16465236112060899</v>
      </c>
      <c r="E8" s="27">
        <v>0.61647922621127804</v>
      </c>
      <c r="F8" s="8">
        <f t="shared" si="0"/>
        <v>7.7200000000000006</v>
      </c>
      <c r="G8" s="8">
        <f t="shared" si="1"/>
        <v>5.91</v>
      </c>
      <c r="H8" s="8">
        <f t="shared" si="2"/>
        <v>7.7200000000000006</v>
      </c>
    </row>
    <row r="9" spans="1:8" x14ac:dyDescent="0.3">
      <c r="B9" s="10" t="s">
        <v>197</v>
      </c>
      <c r="C9" s="26">
        <v>0.16428921629000801</v>
      </c>
      <c r="D9" s="26">
        <v>0.160420999082826</v>
      </c>
      <c r="E9" s="27">
        <v>0.60646185253950202</v>
      </c>
      <c r="F9" s="8">
        <f t="shared" si="0"/>
        <v>7.27</v>
      </c>
      <c r="G9" s="8">
        <f t="shared" si="1"/>
        <v>6.37</v>
      </c>
      <c r="H9" s="8">
        <f t="shared" si="2"/>
        <v>7.27</v>
      </c>
    </row>
    <row r="10" spans="1:8" x14ac:dyDescent="0.3">
      <c r="B10" s="10" t="s">
        <v>180</v>
      </c>
      <c r="C10" s="26">
        <v>0.163279150123947</v>
      </c>
      <c r="D10" s="26">
        <v>0.166264599717521</v>
      </c>
      <c r="E10" s="27">
        <v>0.57907185466733702</v>
      </c>
      <c r="F10" s="8">
        <f t="shared" si="0"/>
        <v>6.8100000000000005</v>
      </c>
      <c r="G10" s="8">
        <f t="shared" si="1"/>
        <v>5.46</v>
      </c>
      <c r="H10" s="8">
        <f t="shared" si="2"/>
        <v>6.8100000000000005</v>
      </c>
    </row>
    <row r="11" spans="1:8" x14ac:dyDescent="0.3">
      <c r="B11" s="10" t="s">
        <v>223</v>
      </c>
      <c r="C11" s="26">
        <v>0.15710751447622001</v>
      </c>
      <c r="D11" s="26">
        <v>0.15828131835238499</v>
      </c>
      <c r="E11" s="27">
        <v>0.56928711116502095</v>
      </c>
      <c r="F11" s="8">
        <f t="shared" si="0"/>
        <v>5.45</v>
      </c>
      <c r="G11" s="8">
        <f t="shared" si="1"/>
        <v>7.73</v>
      </c>
      <c r="H11" s="8">
        <f t="shared" si="2"/>
        <v>6.36</v>
      </c>
    </row>
    <row r="12" spans="1:8" x14ac:dyDescent="0.3">
      <c r="B12" s="10" t="s">
        <v>224</v>
      </c>
      <c r="C12" s="26">
        <v>0.16119239400961399</v>
      </c>
      <c r="D12" s="26">
        <v>0.16800425821968501</v>
      </c>
      <c r="E12" s="27">
        <v>0.56065480129942002</v>
      </c>
      <c r="F12" s="8">
        <f t="shared" si="0"/>
        <v>6.36</v>
      </c>
      <c r="G12" s="8">
        <f t="shared" si="1"/>
        <v>4.55</v>
      </c>
      <c r="H12" s="8">
        <f t="shared" si="2"/>
        <v>5.8999999999999995</v>
      </c>
    </row>
    <row r="13" spans="1:8" x14ac:dyDescent="0.3">
      <c r="B13" s="10" t="s">
        <v>222</v>
      </c>
      <c r="C13" s="26">
        <v>0.15589137297486499</v>
      </c>
      <c r="D13" s="26">
        <v>0.16956257246870801</v>
      </c>
      <c r="E13" s="27">
        <v>0.52423935117680398</v>
      </c>
      <c r="F13" s="8">
        <f t="shared" si="0"/>
        <v>5</v>
      </c>
      <c r="G13" s="8">
        <f t="shared" si="1"/>
        <v>3.1899999999999995</v>
      </c>
      <c r="H13" s="8">
        <f t="shared" si="2"/>
        <v>5.45</v>
      </c>
    </row>
    <row r="14" spans="1:8" x14ac:dyDescent="0.3">
      <c r="B14" s="10" t="s">
        <v>184</v>
      </c>
      <c r="C14" s="26">
        <v>0.16044930061166501</v>
      </c>
      <c r="D14" s="26">
        <v>0.179028108833929</v>
      </c>
      <c r="E14" s="27">
        <v>0.52198116385372395</v>
      </c>
      <c r="F14" s="8">
        <f t="shared" si="0"/>
        <v>5.8999999999999995</v>
      </c>
      <c r="G14" s="8">
        <f t="shared" si="1"/>
        <v>1.370000000000001</v>
      </c>
      <c r="H14" s="8">
        <f t="shared" si="2"/>
        <v>5</v>
      </c>
    </row>
    <row r="15" spans="1:8" x14ac:dyDescent="0.3">
      <c r="B15" s="10" t="s">
        <v>196</v>
      </c>
      <c r="C15" s="26">
        <v>0.14799527993234701</v>
      </c>
      <c r="D15" s="26">
        <v>0.15707825873453499</v>
      </c>
      <c r="E15" s="27">
        <v>0.51563647690563297</v>
      </c>
      <c r="F15" s="8">
        <f t="shared" si="0"/>
        <v>4.54</v>
      </c>
      <c r="G15" s="8">
        <f t="shared" si="1"/>
        <v>8.64</v>
      </c>
      <c r="H15" s="8">
        <f t="shared" si="2"/>
        <v>4.54</v>
      </c>
    </row>
    <row r="16" spans="1:8" x14ac:dyDescent="0.3">
      <c r="B16" s="10" t="s">
        <v>194</v>
      </c>
      <c r="C16" s="26">
        <v>0.140848918603315</v>
      </c>
      <c r="D16" s="26">
        <v>0.156238679536367</v>
      </c>
      <c r="E16" s="27">
        <v>0.47266732426604502</v>
      </c>
      <c r="F16" s="8">
        <f t="shared" si="0"/>
        <v>3.18</v>
      </c>
      <c r="G16" s="8">
        <f t="shared" si="1"/>
        <v>9.1</v>
      </c>
      <c r="H16" s="8">
        <f t="shared" si="2"/>
        <v>4.09</v>
      </c>
    </row>
    <row r="17" spans="2:8" x14ac:dyDescent="0.3">
      <c r="B17" s="10" t="s">
        <v>186</v>
      </c>
      <c r="C17" s="26">
        <v>0.14301290455493501</v>
      </c>
      <c r="D17" s="26">
        <v>0.17027553133361101</v>
      </c>
      <c r="E17" s="27">
        <v>0.446411201654143</v>
      </c>
      <c r="F17" s="8">
        <f t="shared" si="0"/>
        <v>4.09</v>
      </c>
      <c r="G17" s="8">
        <f t="shared" si="1"/>
        <v>2.2799999999999994</v>
      </c>
      <c r="H17" s="8">
        <f t="shared" si="2"/>
        <v>3.63</v>
      </c>
    </row>
    <row r="18" spans="2:8" x14ac:dyDescent="0.3">
      <c r="B18" s="10" t="s">
        <v>192</v>
      </c>
      <c r="C18" s="26">
        <v>0.13541322995270499</v>
      </c>
      <c r="D18" s="26">
        <v>0.15484070947032</v>
      </c>
      <c r="E18" s="27">
        <v>0.44182973706807199</v>
      </c>
      <c r="F18" s="8">
        <f t="shared" si="0"/>
        <v>1.81</v>
      </c>
      <c r="G18" s="8">
        <f t="shared" si="1"/>
        <v>9.5500000000000007</v>
      </c>
      <c r="H18" s="8">
        <f t="shared" si="2"/>
        <v>3.18</v>
      </c>
    </row>
    <row r="19" spans="2:8" x14ac:dyDescent="0.3">
      <c r="B19" s="10" t="s">
        <v>177</v>
      </c>
      <c r="C19" s="26">
        <v>0.136869791089165</v>
      </c>
      <c r="D19" s="26">
        <v>0.15866559913844799</v>
      </c>
      <c r="E19" s="27">
        <v>0.44035878897856401</v>
      </c>
      <c r="F19" s="8">
        <f t="shared" si="0"/>
        <v>2.72</v>
      </c>
      <c r="G19" s="8">
        <f t="shared" si="1"/>
        <v>7.2799999999999994</v>
      </c>
      <c r="H19" s="8">
        <f t="shared" si="2"/>
        <v>2.72</v>
      </c>
    </row>
    <row r="20" spans="2:8" x14ac:dyDescent="0.3">
      <c r="B20" s="10" t="s">
        <v>178</v>
      </c>
      <c r="C20" s="26">
        <v>0.13419123218763601</v>
      </c>
      <c r="D20" s="26">
        <v>0.15802347025948199</v>
      </c>
      <c r="E20" s="27">
        <v>0.42519780180314098</v>
      </c>
      <c r="F20" s="8">
        <f t="shared" si="0"/>
        <v>1.36</v>
      </c>
      <c r="G20" s="8">
        <f t="shared" si="1"/>
        <v>8.19</v>
      </c>
      <c r="H20" s="8">
        <f t="shared" si="2"/>
        <v>2.27</v>
      </c>
    </row>
    <row r="21" spans="2:8" x14ac:dyDescent="0.3">
      <c r="B21" s="10" t="s">
        <v>225</v>
      </c>
      <c r="C21" s="26">
        <v>0.14162262607187501</v>
      </c>
      <c r="D21" s="26">
        <v>0.17942723793294099</v>
      </c>
      <c r="E21" s="27">
        <v>0.41589352280931102</v>
      </c>
      <c r="F21" s="8">
        <f t="shared" si="0"/>
        <v>3.63</v>
      </c>
      <c r="G21" s="8">
        <f t="shared" si="1"/>
        <v>0.46000000000000085</v>
      </c>
      <c r="H21" s="8">
        <f t="shared" si="2"/>
        <v>1.81</v>
      </c>
    </row>
    <row r="22" spans="2:8" x14ac:dyDescent="0.3">
      <c r="B22" s="10" t="s">
        <v>189</v>
      </c>
      <c r="C22" s="26">
        <v>0.13546285990575499</v>
      </c>
      <c r="D22" s="26">
        <v>0.16704043917186701</v>
      </c>
      <c r="E22" s="27">
        <v>0.40985799753145002</v>
      </c>
      <c r="F22" s="8">
        <f t="shared" si="0"/>
        <v>2.27</v>
      </c>
      <c r="G22" s="8">
        <f t="shared" si="1"/>
        <v>5</v>
      </c>
      <c r="H22" s="8">
        <f t="shared" si="2"/>
        <v>1.36</v>
      </c>
    </row>
    <row r="23" spans="2:8" x14ac:dyDescent="0.3">
      <c r="B23" s="10" t="s">
        <v>187</v>
      </c>
      <c r="C23" s="26">
        <v>0.127575020625183</v>
      </c>
      <c r="D23" s="26">
        <v>0.16010742056027799</v>
      </c>
      <c r="E23" s="27">
        <v>0.378339869652559</v>
      </c>
      <c r="F23" s="8">
        <f t="shared" si="0"/>
        <v>0.44999999999999996</v>
      </c>
      <c r="G23" s="8">
        <f t="shared" si="1"/>
        <v>6.82</v>
      </c>
      <c r="H23" s="8">
        <f t="shared" si="2"/>
        <v>0.89999999999999991</v>
      </c>
    </row>
    <row r="24" spans="2:8" x14ac:dyDescent="0.3">
      <c r="B24" s="10" t="s">
        <v>228</v>
      </c>
      <c r="C24" s="26">
        <v>0.130816981297076</v>
      </c>
      <c r="D24" s="26">
        <v>0.173501529660397</v>
      </c>
      <c r="E24" s="27">
        <v>0.36781797498839502</v>
      </c>
      <c r="F24" s="8">
        <f t="shared" si="0"/>
        <v>0.89999999999999991</v>
      </c>
      <c r="G24" s="8">
        <f t="shared" si="1"/>
        <v>1.8200000000000003</v>
      </c>
      <c r="H24" s="8">
        <f t="shared" si="2"/>
        <v>0.44999999999999996</v>
      </c>
    </row>
    <row r="25" spans="2:8" x14ac:dyDescent="0.3">
      <c r="B25" s="14" t="s">
        <v>193</v>
      </c>
      <c r="C25" s="28">
        <v>0.112952825032406</v>
      </c>
      <c r="D25" s="28">
        <v>0.16806372044882101</v>
      </c>
      <c r="E25" s="29">
        <v>0.27342501349897302</v>
      </c>
      <c r="F25" s="15">
        <f t="shared" si="0"/>
        <v>0</v>
      </c>
      <c r="G25" s="15">
        <f t="shared" si="1"/>
        <v>4.1000000000000005</v>
      </c>
      <c r="H25" s="15">
        <f t="shared" si="2"/>
        <v>0</v>
      </c>
    </row>
    <row r="26" spans="2:8" x14ac:dyDescent="0.3">
      <c r="F26" s="8"/>
      <c r="G26" s="8"/>
      <c r="H26" s="8"/>
    </row>
  </sheetData>
  <conditionalFormatting sqref="C3:C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F391-98D2-4452-BAB9-76237EF2C19F}">
  <dimension ref="A1:X35"/>
  <sheetViews>
    <sheetView showGridLines="0" topLeftCell="F1" zoomScaleNormal="100" workbookViewId="0">
      <selection activeCell="U3" sqref="U3"/>
    </sheetView>
  </sheetViews>
  <sheetFormatPr defaultRowHeight="14.4" x14ac:dyDescent="0.3"/>
  <cols>
    <col min="1" max="1" width="41.33203125" hidden="1" customWidth="1"/>
    <col min="2" max="2" width="17.77734375" hidden="1" customWidth="1"/>
    <col min="3" max="3" width="13.33203125" style="6" hidden="1" customWidth="1"/>
    <col min="4" max="4" width="15.109375" hidden="1" customWidth="1"/>
    <col min="5" max="5" width="0" hidden="1" customWidth="1"/>
    <col min="7" max="7" width="60.21875" bestFit="1" customWidth="1"/>
    <col min="8" max="8" width="67.6640625" hidden="1" customWidth="1"/>
    <col min="9" max="9" width="9" hidden="1" customWidth="1"/>
    <col min="10" max="10" width="9.6640625" hidden="1" customWidth="1"/>
    <col min="11" max="11" width="15.5546875" bestFit="1" customWidth="1"/>
    <col min="12" max="12" width="12.77734375" customWidth="1"/>
    <col min="13" max="13" width="17.77734375" hidden="1" customWidth="1"/>
    <col min="14" max="16" width="8.5546875" bestFit="1" customWidth="1"/>
    <col min="17" max="17" width="12.21875" bestFit="1" customWidth="1"/>
    <col min="18" max="18" width="11.5546875" bestFit="1" customWidth="1"/>
    <col min="19" max="19" width="11.33203125" bestFit="1" customWidth="1"/>
    <col min="20" max="20" width="19.21875" customWidth="1"/>
    <col min="21" max="21" width="17.77734375" bestFit="1" customWidth="1"/>
  </cols>
  <sheetData>
    <row r="1" spans="1:24" ht="23.4" x14ac:dyDescent="0.45">
      <c r="F1" s="24" t="s">
        <v>246</v>
      </c>
      <c r="G1" s="10"/>
      <c r="K1" s="55" t="s">
        <v>239</v>
      </c>
      <c r="L1" s="57"/>
      <c r="N1" s="55" t="s">
        <v>240</v>
      </c>
      <c r="O1" s="56"/>
      <c r="P1" s="57"/>
      <c r="Q1" s="58" t="s">
        <v>244</v>
      </c>
      <c r="R1" s="56"/>
      <c r="S1" s="57"/>
    </row>
    <row r="2" spans="1:24" x14ac:dyDescent="0.3">
      <c r="A2" t="s">
        <v>0</v>
      </c>
      <c r="B2" t="s">
        <v>7</v>
      </c>
      <c r="C2" s="6" t="s">
        <v>8</v>
      </c>
      <c r="D2" t="s">
        <v>9</v>
      </c>
      <c r="G2" s="21" t="s">
        <v>199</v>
      </c>
      <c r="H2" s="22"/>
      <c r="I2" s="22" t="s">
        <v>200</v>
      </c>
      <c r="J2" s="22" t="s">
        <v>201</v>
      </c>
      <c r="K2" s="22" t="str">
        <f t="shared" ref="K2" si="0">B2</f>
        <v>Expense Ratio (%)</v>
      </c>
      <c r="L2" s="21" t="str">
        <f t="shared" ref="L2" si="1">D2</f>
        <v>Net Assets (Cr)</v>
      </c>
      <c r="M2" s="11" t="s">
        <v>202</v>
      </c>
      <c r="N2" s="11" t="s">
        <v>207</v>
      </c>
      <c r="O2" s="11" t="s">
        <v>209</v>
      </c>
      <c r="P2" s="12" t="s">
        <v>208</v>
      </c>
      <c r="Q2" s="11" t="s">
        <v>241</v>
      </c>
      <c r="R2" s="11" t="s">
        <v>242</v>
      </c>
      <c r="S2" s="12" t="s">
        <v>243</v>
      </c>
      <c r="T2" s="11" t="s">
        <v>249</v>
      </c>
      <c r="U2" s="11" t="s">
        <v>247</v>
      </c>
      <c r="W2" s="21" t="s">
        <v>216</v>
      </c>
      <c r="X2" s="22" t="s">
        <v>217</v>
      </c>
    </row>
    <row r="3" spans="1:24" x14ac:dyDescent="0.3">
      <c r="A3" t="s">
        <v>21</v>
      </c>
      <c r="B3">
        <v>1.65</v>
      </c>
      <c r="C3" s="6">
        <v>36034</v>
      </c>
      <c r="D3">
        <v>25098</v>
      </c>
      <c r="G3" s="10" t="s">
        <v>224</v>
      </c>
      <c r="H3" t="s">
        <v>181</v>
      </c>
      <c r="I3">
        <v>6.2E-4</v>
      </c>
      <c r="J3">
        <v>-1.1280000000000001E-3</v>
      </c>
      <c r="K3" s="32">
        <f t="shared" ref="K3:K25" si="2">B3</f>
        <v>1.65</v>
      </c>
      <c r="L3" s="30">
        <f t="shared" ref="L3:L25" si="3">D3</f>
        <v>25098</v>
      </c>
      <c r="M3" t="s">
        <v>204</v>
      </c>
      <c r="N3" s="23" t="s">
        <v>211</v>
      </c>
      <c r="O3" s="23" t="s">
        <v>211</v>
      </c>
      <c r="P3" s="25" t="s">
        <v>215</v>
      </c>
      <c r="Q3">
        <f t="shared" ref="Q3:Q25" si="4">_xlfn.XLOOKUP(N3,$W$3:$W$12,$X$3:$X$12)</f>
        <v>8</v>
      </c>
      <c r="R3">
        <f t="shared" ref="R3:R25" si="5">_xlfn.XLOOKUP(O3,$W$3:$W$12,$X$3:$X$12)</f>
        <v>8</v>
      </c>
      <c r="S3" s="10">
        <f t="shared" ref="S3:S25" si="6">_xlfn.XLOOKUP(P3,$W$3:$W$12,$X$3:$X$12)</f>
        <v>10</v>
      </c>
      <c r="T3" s="8">
        <f t="shared" ref="T3:T25" si="7">AVERAGE(Q3:S3)</f>
        <v>8.6666666666666661</v>
      </c>
      <c r="U3" s="13">
        <f t="shared" ref="U3:U25" si="8">10 - _xlfn.PERCENTRANK.INC($K$3:$K$25,K3)*10</f>
        <v>8.64</v>
      </c>
      <c r="W3" s="10" t="s">
        <v>214</v>
      </c>
      <c r="X3">
        <v>2</v>
      </c>
    </row>
    <row r="4" spans="1:24" x14ac:dyDescent="0.3">
      <c r="A4" t="s">
        <v>27</v>
      </c>
      <c r="B4">
        <v>1.72</v>
      </c>
      <c r="C4" s="6">
        <v>43059</v>
      </c>
      <c r="D4">
        <v>13026</v>
      </c>
      <c r="G4" s="10" t="s">
        <v>229</v>
      </c>
      <c r="H4" t="s">
        <v>198</v>
      </c>
      <c r="I4">
        <v>8.3900000000000001E-4</v>
      </c>
      <c r="J4">
        <v>-2.7620000000000001E-3</v>
      </c>
      <c r="K4" s="33">
        <f t="shared" si="2"/>
        <v>1.72</v>
      </c>
      <c r="L4" s="30">
        <f t="shared" si="3"/>
        <v>13026</v>
      </c>
      <c r="M4" t="s">
        <v>210</v>
      </c>
      <c r="N4" s="23" t="s">
        <v>215</v>
      </c>
      <c r="O4" s="23" t="s">
        <v>215</v>
      </c>
      <c r="P4" s="25" t="s">
        <v>212</v>
      </c>
      <c r="Q4">
        <f t="shared" si="4"/>
        <v>10</v>
      </c>
      <c r="R4">
        <f t="shared" si="5"/>
        <v>10</v>
      </c>
      <c r="S4" s="10">
        <f t="shared" si="6"/>
        <v>6</v>
      </c>
      <c r="T4" s="8">
        <f t="shared" si="7"/>
        <v>8.6666666666666661</v>
      </c>
      <c r="U4" s="13">
        <f t="shared" si="8"/>
        <v>5.91</v>
      </c>
      <c r="W4" s="10" t="s">
        <v>213</v>
      </c>
      <c r="X4">
        <v>4</v>
      </c>
    </row>
    <row r="5" spans="1:24" x14ac:dyDescent="0.3">
      <c r="A5" t="s">
        <v>33</v>
      </c>
      <c r="B5">
        <v>1.85</v>
      </c>
      <c r="C5" s="6">
        <v>38623</v>
      </c>
      <c r="D5">
        <v>7708</v>
      </c>
      <c r="G5" s="10" t="s">
        <v>192</v>
      </c>
      <c r="H5" t="s">
        <v>192</v>
      </c>
      <c r="I5">
        <v>5.44E-4</v>
      </c>
      <c r="J5">
        <v>-2.3410000000000002E-3</v>
      </c>
      <c r="K5" s="32">
        <f t="shared" si="2"/>
        <v>1.85</v>
      </c>
      <c r="L5" s="30">
        <f t="shared" si="3"/>
        <v>7708</v>
      </c>
      <c r="M5" t="s">
        <v>204</v>
      </c>
      <c r="N5" s="23" t="s">
        <v>211</v>
      </c>
      <c r="O5" s="23" t="s">
        <v>211</v>
      </c>
      <c r="P5" s="25" t="s">
        <v>211</v>
      </c>
      <c r="Q5">
        <f t="shared" si="4"/>
        <v>8</v>
      </c>
      <c r="R5">
        <f t="shared" si="5"/>
        <v>8</v>
      </c>
      <c r="S5" s="10">
        <f t="shared" si="6"/>
        <v>8</v>
      </c>
      <c r="T5" s="8">
        <f t="shared" si="7"/>
        <v>8</v>
      </c>
      <c r="U5" s="13">
        <f t="shared" si="8"/>
        <v>3.6399999999999997</v>
      </c>
      <c r="W5" s="10" t="s">
        <v>212</v>
      </c>
      <c r="X5">
        <v>6</v>
      </c>
    </row>
    <row r="6" spans="1:24" x14ac:dyDescent="0.3">
      <c r="A6" t="s">
        <v>45</v>
      </c>
      <c r="B6">
        <v>1.69</v>
      </c>
      <c r="C6" s="6">
        <v>37880</v>
      </c>
      <c r="D6">
        <v>13760</v>
      </c>
      <c r="G6" s="10" t="s">
        <v>186</v>
      </c>
      <c r="H6" t="s">
        <v>186</v>
      </c>
      <c r="I6">
        <v>5.8399999999999999E-4</v>
      </c>
      <c r="J6">
        <v>-2.431E-3</v>
      </c>
      <c r="K6" s="32">
        <f t="shared" si="2"/>
        <v>1.69</v>
      </c>
      <c r="L6" s="30">
        <f t="shared" si="3"/>
        <v>13760</v>
      </c>
      <c r="M6" t="s">
        <v>204</v>
      </c>
      <c r="N6" s="23" t="s">
        <v>211</v>
      </c>
      <c r="O6" s="23" t="s">
        <v>211</v>
      </c>
      <c r="P6" s="25" t="s">
        <v>211</v>
      </c>
      <c r="Q6">
        <f t="shared" si="4"/>
        <v>8</v>
      </c>
      <c r="R6">
        <f t="shared" si="5"/>
        <v>8</v>
      </c>
      <c r="S6" s="10">
        <f t="shared" si="6"/>
        <v>8</v>
      </c>
      <c r="T6" s="8">
        <f t="shared" si="7"/>
        <v>8</v>
      </c>
      <c r="U6" s="13">
        <f t="shared" si="8"/>
        <v>7.2799999999999994</v>
      </c>
      <c r="W6" s="10" t="s">
        <v>211</v>
      </c>
      <c r="X6">
        <v>8</v>
      </c>
    </row>
    <row r="7" spans="1:24" x14ac:dyDescent="0.3">
      <c r="A7" t="s">
        <v>50</v>
      </c>
      <c r="B7">
        <v>1.72</v>
      </c>
      <c r="C7" s="6">
        <v>35549</v>
      </c>
      <c r="D7">
        <v>12328</v>
      </c>
      <c r="G7" s="10" t="s">
        <v>227</v>
      </c>
      <c r="H7" t="s">
        <v>191</v>
      </c>
      <c r="I7">
        <v>7.54E-4</v>
      </c>
      <c r="J7">
        <v>-1.281E-3</v>
      </c>
      <c r="K7" s="32">
        <f t="shared" si="2"/>
        <v>1.72</v>
      </c>
      <c r="L7" s="30">
        <f t="shared" si="3"/>
        <v>12328</v>
      </c>
      <c r="M7" t="s">
        <v>204</v>
      </c>
      <c r="N7" s="23" t="s">
        <v>211</v>
      </c>
      <c r="O7" s="23" t="s">
        <v>211</v>
      </c>
      <c r="P7" s="25" t="s">
        <v>211</v>
      </c>
      <c r="Q7">
        <f t="shared" si="4"/>
        <v>8</v>
      </c>
      <c r="R7">
        <f t="shared" si="5"/>
        <v>8</v>
      </c>
      <c r="S7" s="10">
        <f t="shared" si="6"/>
        <v>8</v>
      </c>
      <c r="T7" s="8">
        <f t="shared" si="7"/>
        <v>8</v>
      </c>
      <c r="U7" s="13">
        <f t="shared" si="8"/>
        <v>5.91</v>
      </c>
      <c r="W7" s="10" t="s">
        <v>215</v>
      </c>
      <c r="X7">
        <v>10</v>
      </c>
    </row>
    <row r="8" spans="1:24" x14ac:dyDescent="0.3">
      <c r="A8" t="s">
        <v>54</v>
      </c>
      <c r="B8">
        <v>1.89</v>
      </c>
      <c r="C8" s="6">
        <v>42038</v>
      </c>
      <c r="D8">
        <v>3127</v>
      </c>
      <c r="G8" s="10" t="s">
        <v>196</v>
      </c>
      <c r="H8" t="s">
        <v>196</v>
      </c>
      <c r="I8">
        <v>5.71E-4</v>
      </c>
      <c r="J8">
        <v>-1.4799999999999999E-4</v>
      </c>
      <c r="K8" s="33">
        <f t="shared" si="2"/>
        <v>1.89</v>
      </c>
      <c r="L8" s="30">
        <f t="shared" si="3"/>
        <v>3127</v>
      </c>
      <c r="M8" t="s">
        <v>204</v>
      </c>
      <c r="N8" s="23" t="s">
        <v>211</v>
      </c>
      <c r="O8" s="23" t="s">
        <v>211</v>
      </c>
      <c r="P8" s="25" t="s">
        <v>212</v>
      </c>
      <c r="Q8">
        <f t="shared" si="4"/>
        <v>8</v>
      </c>
      <c r="R8">
        <f t="shared" si="5"/>
        <v>8</v>
      </c>
      <c r="S8" s="10">
        <f t="shared" si="6"/>
        <v>6</v>
      </c>
      <c r="T8" s="8">
        <f t="shared" si="7"/>
        <v>7.333333333333333</v>
      </c>
      <c r="U8" s="13">
        <f t="shared" si="8"/>
        <v>3.1899999999999995</v>
      </c>
      <c r="W8" s="10" t="s">
        <v>210</v>
      </c>
      <c r="X8">
        <v>10</v>
      </c>
    </row>
    <row r="9" spans="1:24" x14ac:dyDescent="0.3">
      <c r="A9" t="s">
        <v>58</v>
      </c>
      <c r="B9">
        <v>1.69</v>
      </c>
      <c r="C9" s="6">
        <v>34606</v>
      </c>
      <c r="D9">
        <v>19972</v>
      </c>
      <c r="G9" s="10" t="s">
        <v>183</v>
      </c>
      <c r="H9" t="s">
        <v>183</v>
      </c>
      <c r="I9">
        <v>7.3099999999999999E-4</v>
      </c>
      <c r="J9">
        <v>-2.6410000000000001E-3</v>
      </c>
      <c r="K9" s="32">
        <f t="shared" si="2"/>
        <v>1.69</v>
      </c>
      <c r="L9" s="30">
        <f t="shared" si="3"/>
        <v>19972</v>
      </c>
      <c r="M9" t="s">
        <v>205</v>
      </c>
      <c r="N9" s="23" t="s">
        <v>211</v>
      </c>
      <c r="O9" s="23" t="s">
        <v>211</v>
      </c>
      <c r="P9" s="25" t="s">
        <v>212</v>
      </c>
      <c r="Q9">
        <f t="shared" si="4"/>
        <v>8</v>
      </c>
      <c r="R9">
        <f t="shared" si="5"/>
        <v>8</v>
      </c>
      <c r="S9" s="10">
        <f t="shared" si="6"/>
        <v>6</v>
      </c>
      <c r="T9" s="8">
        <f t="shared" si="7"/>
        <v>7.333333333333333</v>
      </c>
      <c r="U9" s="13">
        <f t="shared" si="8"/>
        <v>7.2799999999999994</v>
      </c>
      <c r="W9" s="10" t="s">
        <v>218</v>
      </c>
      <c r="X9">
        <v>8</v>
      </c>
    </row>
    <row r="10" spans="1:24" x14ac:dyDescent="0.3">
      <c r="A10" t="s">
        <v>62</v>
      </c>
      <c r="B10">
        <v>1.33</v>
      </c>
      <c r="C10" s="6">
        <v>34700</v>
      </c>
      <c r="D10">
        <v>96295</v>
      </c>
      <c r="G10" s="10" t="s">
        <v>182</v>
      </c>
      <c r="H10" t="s">
        <v>182</v>
      </c>
      <c r="I10">
        <v>6.4599999999999998E-4</v>
      </c>
      <c r="J10">
        <v>-1.7719999999999999E-3</v>
      </c>
      <c r="K10" s="32">
        <f t="shared" si="2"/>
        <v>1.33</v>
      </c>
      <c r="L10" s="30">
        <f t="shared" si="3"/>
        <v>96295</v>
      </c>
      <c r="M10" t="s">
        <v>204</v>
      </c>
      <c r="N10" s="23" t="s">
        <v>211</v>
      </c>
      <c r="O10" s="23" t="s">
        <v>211</v>
      </c>
      <c r="P10" s="25" t="s">
        <v>212</v>
      </c>
      <c r="Q10">
        <f t="shared" si="4"/>
        <v>8</v>
      </c>
      <c r="R10">
        <f t="shared" si="5"/>
        <v>8</v>
      </c>
      <c r="S10" s="10">
        <f t="shared" si="6"/>
        <v>6</v>
      </c>
      <c r="T10" s="8">
        <f t="shared" si="7"/>
        <v>7.333333333333333</v>
      </c>
      <c r="U10" s="13">
        <f t="shared" si="8"/>
        <v>9.5500000000000007</v>
      </c>
      <c r="W10" s="10" t="s">
        <v>204</v>
      </c>
      <c r="X10">
        <v>6</v>
      </c>
    </row>
    <row r="11" spans="1:24" x14ac:dyDescent="0.3">
      <c r="A11" t="s">
        <v>70</v>
      </c>
      <c r="B11">
        <v>1.93</v>
      </c>
      <c r="C11" s="6">
        <v>38041</v>
      </c>
      <c r="D11">
        <v>5227</v>
      </c>
      <c r="G11" s="10" t="s">
        <v>226</v>
      </c>
      <c r="H11" t="s">
        <v>190</v>
      </c>
      <c r="I11">
        <v>6.5499999999999998E-4</v>
      </c>
      <c r="J11">
        <v>-2.153E-3</v>
      </c>
      <c r="K11" s="32">
        <f t="shared" si="2"/>
        <v>1.93</v>
      </c>
      <c r="L11" s="30">
        <f t="shared" si="3"/>
        <v>5227</v>
      </c>
      <c r="M11" t="s">
        <v>203</v>
      </c>
      <c r="N11" s="23" t="s">
        <v>212</v>
      </c>
      <c r="O11" s="23" t="s">
        <v>212</v>
      </c>
      <c r="P11" s="25" t="s">
        <v>211</v>
      </c>
      <c r="Q11">
        <f t="shared" si="4"/>
        <v>6</v>
      </c>
      <c r="R11">
        <f t="shared" si="5"/>
        <v>6</v>
      </c>
      <c r="S11" s="10">
        <f t="shared" si="6"/>
        <v>8</v>
      </c>
      <c r="T11" s="8">
        <f t="shared" si="7"/>
        <v>6.666666666666667</v>
      </c>
      <c r="U11" s="13">
        <f t="shared" si="8"/>
        <v>2.2799999999999994</v>
      </c>
      <c r="W11" s="10" t="s">
        <v>203</v>
      </c>
      <c r="X11">
        <v>4</v>
      </c>
    </row>
    <row r="12" spans="1:24" x14ac:dyDescent="0.3">
      <c r="A12" t="s">
        <v>88</v>
      </c>
      <c r="B12">
        <v>1.82</v>
      </c>
      <c r="C12" s="6">
        <v>39714</v>
      </c>
      <c r="D12">
        <v>5463</v>
      </c>
      <c r="G12" s="10" t="s">
        <v>222</v>
      </c>
      <c r="H12" t="s">
        <v>176</v>
      </c>
      <c r="I12">
        <v>6.0800000000000003E-4</v>
      </c>
      <c r="J12">
        <v>-1.7520000000000001E-3</v>
      </c>
      <c r="K12" s="32">
        <f t="shared" si="2"/>
        <v>1.82</v>
      </c>
      <c r="L12" s="30">
        <f t="shared" si="3"/>
        <v>5463</v>
      </c>
      <c r="M12" t="s">
        <v>203</v>
      </c>
      <c r="N12" s="23" t="s">
        <v>211</v>
      </c>
      <c r="O12" s="23" t="s">
        <v>212</v>
      </c>
      <c r="P12" s="25" t="s">
        <v>212</v>
      </c>
      <c r="Q12">
        <f t="shared" si="4"/>
        <v>8</v>
      </c>
      <c r="R12">
        <f t="shared" si="5"/>
        <v>6</v>
      </c>
      <c r="S12" s="10">
        <f t="shared" si="6"/>
        <v>6</v>
      </c>
      <c r="T12" s="8">
        <f t="shared" si="7"/>
        <v>6.666666666666667</v>
      </c>
      <c r="U12" s="13">
        <f t="shared" si="8"/>
        <v>4.55</v>
      </c>
      <c r="W12" s="10" t="s">
        <v>206</v>
      </c>
      <c r="X12">
        <v>2</v>
      </c>
    </row>
    <row r="13" spans="1:24" x14ac:dyDescent="0.3">
      <c r="A13" t="s">
        <v>92</v>
      </c>
      <c r="B13">
        <v>1.44</v>
      </c>
      <c r="C13" s="6">
        <v>40067</v>
      </c>
      <c r="D13">
        <v>56460</v>
      </c>
      <c r="G13" s="10" t="s">
        <v>178</v>
      </c>
      <c r="H13" t="s">
        <v>178</v>
      </c>
      <c r="I13">
        <v>5.1800000000000001E-4</v>
      </c>
      <c r="J13">
        <v>-5.4299999999999997E-4</v>
      </c>
      <c r="K13" s="32">
        <f t="shared" si="2"/>
        <v>1.44</v>
      </c>
      <c r="L13" s="30">
        <f t="shared" si="3"/>
        <v>56460</v>
      </c>
      <c r="M13" t="s">
        <v>203</v>
      </c>
      <c r="N13" s="23" t="s">
        <v>211</v>
      </c>
      <c r="O13" s="23" t="s">
        <v>212</v>
      </c>
      <c r="P13" s="25" t="s">
        <v>212</v>
      </c>
      <c r="Q13">
        <f t="shared" si="4"/>
        <v>8</v>
      </c>
      <c r="R13">
        <f t="shared" si="5"/>
        <v>6</v>
      </c>
      <c r="S13" s="10">
        <f t="shared" si="6"/>
        <v>6</v>
      </c>
      <c r="T13" s="8">
        <f t="shared" si="7"/>
        <v>6.666666666666667</v>
      </c>
      <c r="U13" s="13">
        <f t="shared" si="8"/>
        <v>9.1</v>
      </c>
    </row>
    <row r="14" spans="1:24" x14ac:dyDescent="0.3">
      <c r="A14" t="s">
        <v>98</v>
      </c>
      <c r="B14">
        <v>2.27</v>
      </c>
      <c r="C14" s="6">
        <v>34074</v>
      </c>
      <c r="D14">
        <v>1063</v>
      </c>
      <c r="G14" s="10" t="s">
        <v>223</v>
      </c>
      <c r="H14" t="s">
        <v>179</v>
      </c>
      <c r="I14">
        <v>6.2699999999999995E-4</v>
      </c>
      <c r="J14">
        <v>-1.178E-3</v>
      </c>
      <c r="K14" s="32">
        <f t="shared" si="2"/>
        <v>2.27</v>
      </c>
      <c r="L14" s="30">
        <f t="shared" si="3"/>
        <v>1063</v>
      </c>
      <c r="M14" t="s">
        <v>203</v>
      </c>
      <c r="N14" s="23" t="s">
        <v>212</v>
      </c>
      <c r="O14" s="23" t="s">
        <v>212</v>
      </c>
      <c r="P14" s="25" t="s">
        <v>212</v>
      </c>
      <c r="Q14">
        <f t="shared" si="4"/>
        <v>6</v>
      </c>
      <c r="R14">
        <f t="shared" si="5"/>
        <v>6</v>
      </c>
      <c r="S14" s="10">
        <f t="shared" si="6"/>
        <v>6</v>
      </c>
      <c r="T14" s="8">
        <f t="shared" si="7"/>
        <v>6</v>
      </c>
      <c r="U14" s="13">
        <f t="shared" si="8"/>
        <v>0.91000000000000014</v>
      </c>
    </row>
    <row r="15" spans="1:24" x14ac:dyDescent="0.3">
      <c r="A15" t="s">
        <v>110</v>
      </c>
      <c r="B15">
        <v>1.71</v>
      </c>
      <c r="C15" s="6">
        <v>41757</v>
      </c>
      <c r="D15">
        <v>13862</v>
      </c>
      <c r="G15" s="10" t="s">
        <v>197</v>
      </c>
      <c r="H15" t="s">
        <v>197</v>
      </c>
      <c r="I15">
        <v>6.3000000000000003E-4</v>
      </c>
      <c r="J15">
        <v>-2.1129999999999999E-3</v>
      </c>
      <c r="K15" s="33">
        <f t="shared" si="2"/>
        <v>1.71</v>
      </c>
      <c r="L15" s="30">
        <f t="shared" si="3"/>
        <v>13862</v>
      </c>
      <c r="M15" t="s">
        <v>203</v>
      </c>
      <c r="N15" s="23" t="s">
        <v>212</v>
      </c>
      <c r="O15" s="23" t="s">
        <v>212</v>
      </c>
      <c r="P15" s="25" t="s">
        <v>212</v>
      </c>
      <c r="Q15">
        <f t="shared" si="4"/>
        <v>6</v>
      </c>
      <c r="R15">
        <f t="shared" si="5"/>
        <v>6</v>
      </c>
      <c r="S15" s="10">
        <f t="shared" si="6"/>
        <v>6</v>
      </c>
      <c r="T15" s="8">
        <f t="shared" si="7"/>
        <v>6</v>
      </c>
      <c r="U15" s="13">
        <f t="shared" si="8"/>
        <v>6.37</v>
      </c>
    </row>
    <row r="16" spans="1:24" x14ac:dyDescent="0.3">
      <c r="A16" t="s">
        <v>114</v>
      </c>
      <c r="B16">
        <v>2.23</v>
      </c>
      <c r="C16" s="6">
        <v>43290</v>
      </c>
      <c r="D16">
        <v>263</v>
      </c>
      <c r="G16" s="10" t="s">
        <v>185</v>
      </c>
      <c r="H16" t="s">
        <v>185</v>
      </c>
      <c r="I16">
        <v>7.4299999999999995E-4</v>
      </c>
      <c r="J16">
        <v>-1.8760000000000001E-3</v>
      </c>
      <c r="K16" s="33">
        <f t="shared" si="2"/>
        <v>2.23</v>
      </c>
      <c r="L16" s="30">
        <f t="shared" si="3"/>
        <v>263</v>
      </c>
      <c r="M16" t="s">
        <v>203</v>
      </c>
      <c r="N16" s="23" t="s">
        <v>212</v>
      </c>
      <c r="O16" s="23" t="s">
        <v>212</v>
      </c>
      <c r="P16" s="25" t="s">
        <v>212</v>
      </c>
      <c r="Q16">
        <f t="shared" si="4"/>
        <v>6</v>
      </c>
      <c r="R16">
        <f t="shared" si="5"/>
        <v>6</v>
      </c>
      <c r="S16" s="10">
        <f t="shared" si="6"/>
        <v>6</v>
      </c>
      <c r="T16" s="8">
        <f t="shared" si="7"/>
        <v>6</v>
      </c>
      <c r="U16" s="13">
        <f t="shared" si="8"/>
        <v>1.370000000000001</v>
      </c>
    </row>
    <row r="17" spans="1:21" x14ac:dyDescent="0.3">
      <c r="A17" t="s">
        <v>126</v>
      </c>
      <c r="B17">
        <v>1.28</v>
      </c>
      <c r="C17" s="6">
        <v>41418</v>
      </c>
      <c r="D17">
        <v>133309</v>
      </c>
      <c r="G17" s="10" t="s">
        <v>180</v>
      </c>
      <c r="H17" t="s">
        <v>180</v>
      </c>
      <c r="I17">
        <v>6.4400000000000004E-4</v>
      </c>
      <c r="J17">
        <v>-9.8200000000000002E-4</v>
      </c>
      <c r="K17" s="32">
        <f t="shared" si="2"/>
        <v>1.28</v>
      </c>
      <c r="L17" s="30">
        <f t="shared" si="3"/>
        <v>133309</v>
      </c>
      <c r="M17" t="s">
        <v>203</v>
      </c>
      <c r="N17" s="23" t="s">
        <v>212</v>
      </c>
      <c r="O17" s="23" t="s">
        <v>213</v>
      </c>
      <c r="P17" s="25" t="s">
        <v>212</v>
      </c>
      <c r="Q17">
        <f t="shared" si="4"/>
        <v>6</v>
      </c>
      <c r="R17">
        <f t="shared" si="5"/>
        <v>4</v>
      </c>
      <c r="S17" s="10">
        <f t="shared" si="6"/>
        <v>6</v>
      </c>
      <c r="T17" s="8">
        <f t="shared" si="7"/>
        <v>5.333333333333333</v>
      </c>
      <c r="U17" s="13">
        <f t="shared" si="8"/>
        <v>10</v>
      </c>
    </row>
    <row r="18" spans="1:21" x14ac:dyDescent="0.3">
      <c r="A18" t="s">
        <v>128</v>
      </c>
      <c r="B18">
        <v>1.78</v>
      </c>
      <c r="C18" s="6">
        <v>42067</v>
      </c>
      <c r="D18">
        <v>6268</v>
      </c>
      <c r="G18" s="10" t="s">
        <v>177</v>
      </c>
      <c r="H18" t="s">
        <v>177</v>
      </c>
      <c r="I18">
        <v>5.6499999999999996E-4</v>
      </c>
      <c r="J18">
        <v>3.6000000000000001E-5</v>
      </c>
      <c r="K18" s="33">
        <f t="shared" si="2"/>
        <v>1.78</v>
      </c>
      <c r="L18" s="30">
        <f t="shared" si="3"/>
        <v>6268</v>
      </c>
      <c r="M18" t="s">
        <v>203</v>
      </c>
      <c r="N18" s="23" t="s">
        <v>213</v>
      </c>
      <c r="O18" s="23" t="s">
        <v>212</v>
      </c>
      <c r="P18" s="25" t="s">
        <v>212</v>
      </c>
      <c r="Q18">
        <f t="shared" si="4"/>
        <v>4</v>
      </c>
      <c r="R18">
        <f t="shared" si="5"/>
        <v>6</v>
      </c>
      <c r="S18" s="10">
        <f t="shared" si="6"/>
        <v>6</v>
      </c>
      <c r="T18" s="8">
        <f t="shared" si="7"/>
        <v>5.333333333333333</v>
      </c>
      <c r="U18" s="13">
        <f t="shared" si="8"/>
        <v>5</v>
      </c>
    </row>
    <row r="19" spans="1:21" x14ac:dyDescent="0.3">
      <c r="A19" t="s">
        <v>130</v>
      </c>
      <c r="B19">
        <v>1.82</v>
      </c>
      <c r="C19" s="6">
        <v>39738</v>
      </c>
      <c r="D19">
        <v>6700</v>
      </c>
      <c r="G19" s="10" t="s">
        <v>189</v>
      </c>
      <c r="H19" t="s">
        <v>189</v>
      </c>
      <c r="I19">
        <v>5.4000000000000001E-4</v>
      </c>
      <c r="J19">
        <v>-6.5300000000000004E-4</v>
      </c>
      <c r="K19" s="32">
        <f t="shared" si="2"/>
        <v>1.82</v>
      </c>
      <c r="L19" s="30">
        <f t="shared" si="3"/>
        <v>6700</v>
      </c>
      <c r="M19" t="s">
        <v>206</v>
      </c>
      <c r="N19" s="23" t="s">
        <v>213</v>
      </c>
      <c r="O19" s="23" t="s">
        <v>213</v>
      </c>
      <c r="P19" s="25" t="s">
        <v>212</v>
      </c>
      <c r="Q19">
        <f t="shared" si="4"/>
        <v>4</v>
      </c>
      <c r="R19">
        <f t="shared" si="5"/>
        <v>4</v>
      </c>
      <c r="S19" s="10">
        <f t="shared" si="6"/>
        <v>6</v>
      </c>
      <c r="T19" s="8">
        <f t="shared" si="7"/>
        <v>4.666666666666667</v>
      </c>
      <c r="U19" s="13">
        <f t="shared" si="8"/>
        <v>4.55</v>
      </c>
    </row>
    <row r="20" spans="1:21" x14ac:dyDescent="0.3">
      <c r="A20" t="s">
        <v>134</v>
      </c>
      <c r="B20">
        <v>1.66</v>
      </c>
      <c r="C20" s="6">
        <v>38624</v>
      </c>
      <c r="D20">
        <v>23685</v>
      </c>
      <c r="G20" s="10" t="s">
        <v>184</v>
      </c>
      <c r="H20" t="s">
        <v>184</v>
      </c>
      <c r="I20">
        <v>6.0599999999999998E-4</v>
      </c>
      <c r="J20">
        <v>-5.3399999999999997E-4</v>
      </c>
      <c r="K20" s="32">
        <f t="shared" si="2"/>
        <v>1.66</v>
      </c>
      <c r="L20" s="30">
        <f t="shared" si="3"/>
        <v>23685</v>
      </c>
      <c r="M20" t="s">
        <v>206</v>
      </c>
      <c r="N20" s="23" t="s">
        <v>213</v>
      </c>
      <c r="O20" s="23" t="s">
        <v>213</v>
      </c>
      <c r="P20" s="25" t="s">
        <v>212</v>
      </c>
      <c r="Q20">
        <f t="shared" si="4"/>
        <v>4</v>
      </c>
      <c r="R20">
        <f t="shared" si="5"/>
        <v>4</v>
      </c>
      <c r="S20" s="10">
        <f t="shared" si="6"/>
        <v>6</v>
      </c>
      <c r="T20" s="8">
        <f t="shared" si="7"/>
        <v>4.666666666666667</v>
      </c>
      <c r="U20" s="13">
        <f t="shared" si="8"/>
        <v>8.19</v>
      </c>
    </row>
    <row r="21" spans="1:21" x14ac:dyDescent="0.3">
      <c r="A21" t="s">
        <v>140</v>
      </c>
      <c r="B21">
        <v>2.39</v>
      </c>
      <c r="C21" s="6">
        <v>43371</v>
      </c>
      <c r="D21">
        <v>137</v>
      </c>
      <c r="G21" s="10" t="s">
        <v>225</v>
      </c>
      <c r="H21" t="s">
        <v>188</v>
      </c>
      <c r="I21">
        <v>5.6300000000000002E-4</v>
      </c>
      <c r="J21">
        <v>-1.1069999999999999E-3</v>
      </c>
      <c r="K21" s="32">
        <f t="shared" si="2"/>
        <v>2.39</v>
      </c>
      <c r="L21" s="30">
        <f t="shared" si="3"/>
        <v>137</v>
      </c>
      <c r="M21" t="s">
        <v>206</v>
      </c>
      <c r="N21" s="23" t="s">
        <v>213</v>
      </c>
      <c r="O21" s="23" t="s">
        <v>213</v>
      </c>
      <c r="P21" s="25" t="s">
        <v>213</v>
      </c>
      <c r="Q21">
        <f t="shared" si="4"/>
        <v>4</v>
      </c>
      <c r="R21">
        <f t="shared" si="5"/>
        <v>4</v>
      </c>
      <c r="S21" s="10">
        <f t="shared" si="6"/>
        <v>4</v>
      </c>
      <c r="T21" s="8">
        <f t="shared" si="7"/>
        <v>4</v>
      </c>
      <c r="U21" s="13">
        <f t="shared" si="8"/>
        <v>0.46000000000000085</v>
      </c>
    </row>
    <row r="22" spans="1:21" x14ac:dyDescent="0.3">
      <c r="A22" t="s">
        <v>148</v>
      </c>
      <c r="B22">
        <v>1.89</v>
      </c>
      <c r="C22" s="6">
        <v>43349</v>
      </c>
      <c r="D22">
        <v>3699</v>
      </c>
      <c r="G22" s="10" t="s">
        <v>194</v>
      </c>
      <c r="H22" t="s">
        <v>194</v>
      </c>
      <c r="I22">
        <v>5.4199999999999995E-4</v>
      </c>
      <c r="J22">
        <v>-8.5899999999999995E-4</v>
      </c>
      <c r="K22" s="32">
        <f t="shared" si="2"/>
        <v>1.89</v>
      </c>
      <c r="L22" s="30">
        <f t="shared" si="3"/>
        <v>3699</v>
      </c>
      <c r="M22" t="s">
        <v>206</v>
      </c>
      <c r="N22" s="23" t="s">
        <v>213</v>
      </c>
      <c r="O22" s="23" t="s">
        <v>213</v>
      </c>
      <c r="P22" s="25" t="s">
        <v>213</v>
      </c>
      <c r="Q22">
        <f t="shared" si="4"/>
        <v>4</v>
      </c>
      <c r="R22">
        <f t="shared" si="5"/>
        <v>4</v>
      </c>
      <c r="S22" s="10">
        <f t="shared" si="6"/>
        <v>4</v>
      </c>
      <c r="T22" s="8">
        <f t="shared" si="7"/>
        <v>4</v>
      </c>
      <c r="U22" s="13">
        <f t="shared" si="8"/>
        <v>3.1899999999999995</v>
      </c>
    </row>
    <row r="23" spans="1:21" x14ac:dyDescent="0.3">
      <c r="A23" t="s">
        <v>154</v>
      </c>
      <c r="B23">
        <v>2.64</v>
      </c>
      <c r="C23" s="6">
        <v>34363</v>
      </c>
      <c r="D23">
        <v>357</v>
      </c>
      <c r="G23" s="10" t="s">
        <v>193</v>
      </c>
      <c r="H23" t="s">
        <v>193</v>
      </c>
      <c r="I23">
        <v>4.0999999999999999E-4</v>
      </c>
      <c r="J23">
        <v>-4.4299999999999998E-4</v>
      </c>
      <c r="K23" s="33">
        <f t="shared" si="2"/>
        <v>2.64</v>
      </c>
      <c r="L23" s="30">
        <f t="shared" si="3"/>
        <v>357</v>
      </c>
      <c r="M23" t="s">
        <v>206</v>
      </c>
      <c r="N23" s="23" t="s">
        <v>214</v>
      </c>
      <c r="O23" s="23" t="s">
        <v>213</v>
      </c>
      <c r="P23" s="25" t="s">
        <v>213</v>
      </c>
      <c r="Q23">
        <f t="shared" si="4"/>
        <v>2</v>
      </c>
      <c r="R23">
        <f t="shared" si="5"/>
        <v>4</v>
      </c>
      <c r="S23" s="10">
        <f t="shared" si="6"/>
        <v>4</v>
      </c>
      <c r="T23" s="8">
        <f t="shared" si="7"/>
        <v>3.3333333333333335</v>
      </c>
      <c r="U23" s="13">
        <f t="shared" si="8"/>
        <v>0</v>
      </c>
    </row>
    <row r="24" spans="1:21" x14ac:dyDescent="0.3">
      <c r="A24" t="s">
        <v>162</v>
      </c>
      <c r="B24">
        <v>2.02</v>
      </c>
      <c r="C24" s="6">
        <v>40704</v>
      </c>
      <c r="D24">
        <v>2402</v>
      </c>
      <c r="G24" s="10" t="s">
        <v>228</v>
      </c>
      <c r="H24" t="s">
        <v>195</v>
      </c>
      <c r="I24">
        <v>4.9399999999999997E-4</v>
      </c>
      <c r="J24">
        <v>-1.3860000000000001E-3</v>
      </c>
      <c r="K24" s="33">
        <f t="shared" si="2"/>
        <v>2.02</v>
      </c>
      <c r="L24" s="30">
        <f t="shared" si="3"/>
        <v>2402</v>
      </c>
      <c r="M24" t="s">
        <v>206</v>
      </c>
      <c r="N24" s="23" t="s">
        <v>214</v>
      </c>
      <c r="O24" s="23" t="s">
        <v>213</v>
      </c>
      <c r="P24" s="25" t="s">
        <v>213</v>
      </c>
      <c r="Q24">
        <f t="shared" si="4"/>
        <v>2</v>
      </c>
      <c r="R24">
        <f t="shared" si="5"/>
        <v>4</v>
      </c>
      <c r="S24" s="10">
        <f t="shared" si="6"/>
        <v>4</v>
      </c>
      <c r="T24" s="8">
        <f t="shared" si="7"/>
        <v>3.3333333333333335</v>
      </c>
      <c r="U24" s="13">
        <f t="shared" si="8"/>
        <v>1.8200000000000003</v>
      </c>
    </row>
    <row r="25" spans="1:21" x14ac:dyDescent="0.3">
      <c r="A25" t="s">
        <v>170</v>
      </c>
      <c r="B25">
        <v>1.67</v>
      </c>
      <c r="C25" s="6">
        <v>33742</v>
      </c>
      <c r="D25">
        <v>24903</v>
      </c>
      <c r="G25" s="14" t="s">
        <v>187</v>
      </c>
      <c r="H25" s="19" t="s">
        <v>187</v>
      </c>
      <c r="I25" s="19">
        <v>5.2400000000000005E-4</v>
      </c>
      <c r="J25" s="19">
        <v>-1.6609999999999999E-3</v>
      </c>
      <c r="K25" s="34">
        <f t="shared" si="2"/>
        <v>1.67</v>
      </c>
      <c r="L25" s="31">
        <f t="shared" si="3"/>
        <v>24903</v>
      </c>
      <c r="M25" s="19" t="s">
        <v>206</v>
      </c>
      <c r="N25" s="22" t="s">
        <v>214</v>
      </c>
      <c r="O25" s="22" t="s">
        <v>213</v>
      </c>
      <c r="P25" s="21" t="s">
        <v>213</v>
      </c>
      <c r="Q25" s="19">
        <f t="shared" si="4"/>
        <v>2</v>
      </c>
      <c r="R25" s="19">
        <f t="shared" si="5"/>
        <v>4</v>
      </c>
      <c r="S25" s="14">
        <f t="shared" si="6"/>
        <v>4</v>
      </c>
      <c r="T25" s="15">
        <f t="shared" si="7"/>
        <v>3.3333333333333335</v>
      </c>
      <c r="U25" s="16">
        <f t="shared" si="8"/>
        <v>7.73</v>
      </c>
    </row>
    <row r="26" spans="1:21" x14ac:dyDescent="0.3">
      <c r="G26" s="10"/>
      <c r="T26" s="8"/>
      <c r="U26" s="8"/>
    </row>
    <row r="27" spans="1:21" x14ac:dyDescent="0.3">
      <c r="G27" s="10" t="s">
        <v>236</v>
      </c>
      <c r="K27">
        <f>MAX(K3:K25)</f>
        <v>2.64</v>
      </c>
    </row>
    <row r="28" spans="1:21" x14ac:dyDescent="0.3">
      <c r="G28" s="10" t="s">
        <v>237</v>
      </c>
      <c r="K28">
        <f>MIN(K3:K25)</f>
        <v>1.28</v>
      </c>
    </row>
    <row r="29" spans="1:21" x14ac:dyDescent="0.3">
      <c r="G29" s="10" t="s">
        <v>238</v>
      </c>
      <c r="K29">
        <f>AVERAGE(K3:K25)</f>
        <v>1.8300000000000005</v>
      </c>
    </row>
    <row r="32" spans="1:21" x14ac:dyDescent="0.3">
      <c r="M32" t="s">
        <v>219</v>
      </c>
    </row>
    <row r="34" spans="13:14" x14ac:dyDescent="0.3">
      <c r="M34" s="9"/>
      <c r="N34" s="7"/>
    </row>
    <row r="35" spans="13:14" x14ac:dyDescent="0.3">
      <c r="N35" s="7"/>
    </row>
  </sheetData>
  <autoFilter ref="G2:U2" xr:uid="{CACEF391-98D2-4452-BAB9-76237EF2C19F}">
    <sortState xmlns:xlrd2="http://schemas.microsoft.com/office/spreadsheetml/2017/richdata2" ref="G3:U25">
      <sortCondition descending="1" ref="T2"/>
    </sortState>
  </autoFilter>
  <mergeCells count="3">
    <mergeCell ref="N1:P1"/>
    <mergeCell ref="K1:L1"/>
    <mergeCell ref="Q1:S1"/>
  </mergeCells>
  <conditionalFormatting sqref="T3:T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981A-0430-45AA-BE15-CA2887616A80}">
  <dimension ref="A1"/>
  <sheetViews>
    <sheetView showGridLines="0" zoomScaleNormal="100" workbookViewId="0">
      <selection activeCell="W47" sqref="W47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0270-3030-4B22-BFB0-799E42218CE4}">
  <dimension ref="A1:F48"/>
  <sheetViews>
    <sheetView showGridLines="0" zoomScaleNormal="100" workbookViewId="0"/>
  </sheetViews>
  <sheetFormatPr defaultRowHeight="14.4" x14ac:dyDescent="0.3"/>
  <cols>
    <col min="2" max="2" width="51" customWidth="1"/>
    <col min="3" max="3" width="15.5546875" bestFit="1" customWidth="1"/>
    <col min="4" max="4" width="17.77734375" customWidth="1"/>
    <col min="5" max="5" width="12.109375" customWidth="1"/>
    <col min="6" max="6" width="16.5546875" hidden="1" customWidth="1"/>
    <col min="9" max="9" width="3" bestFit="1" customWidth="1"/>
    <col min="10" max="10" width="48.109375" bestFit="1" customWidth="1"/>
    <col min="11" max="11" width="9" bestFit="1" customWidth="1"/>
    <col min="12" max="12" width="9.6640625" bestFit="1" customWidth="1"/>
  </cols>
  <sheetData>
    <row r="1" spans="1:6" ht="23.4" x14ac:dyDescent="0.45">
      <c r="A1" s="24" t="s">
        <v>250</v>
      </c>
    </row>
    <row r="2" spans="1:6" x14ac:dyDescent="0.3">
      <c r="B2" s="14" t="s">
        <v>0</v>
      </c>
      <c r="C2" s="20" t="s">
        <v>9</v>
      </c>
      <c r="D2" s="14" t="s">
        <v>7</v>
      </c>
      <c r="E2" s="19" t="s">
        <v>8</v>
      </c>
      <c r="F2" t="s">
        <v>235</v>
      </c>
    </row>
    <row r="3" spans="1:6" hidden="1" x14ac:dyDescent="0.3">
      <c r="B3" t="s">
        <v>10</v>
      </c>
      <c r="C3" s="5">
        <f>Table1[[#This Row],[Net Assets (Cr)2]]</f>
        <v>2092</v>
      </c>
      <c r="D3">
        <v>1.99</v>
      </c>
      <c r="E3" s="6">
        <v>45107</v>
      </c>
      <c r="F3" s="5">
        <v>2092</v>
      </c>
    </row>
    <row r="4" spans="1:6" hidden="1" x14ac:dyDescent="0.3">
      <c r="B4" t="s">
        <v>18</v>
      </c>
      <c r="C4" s="5">
        <f>Table1[[#This Row],[Net Assets (Cr)2]]</f>
        <v>2493</v>
      </c>
      <c r="D4">
        <v>1.96</v>
      </c>
      <c r="E4" s="6">
        <v>46020</v>
      </c>
      <c r="F4" s="5">
        <v>2493</v>
      </c>
    </row>
    <row r="5" spans="1:6" x14ac:dyDescent="0.3">
      <c r="B5" s="10" t="s">
        <v>21</v>
      </c>
      <c r="C5" s="5">
        <f>Table1[[#This Row],[Net Assets (Cr)2]]</f>
        <v>25098</v>
      </c>
      <c r="D5" s="10">
        <v>1.65</v>
      </c>
      <c r="E5" s="6">
        <v>36034</v>
      </c>
      <c r="F5" s="5">
        <v>25098</v>
      </c>
    </row>
    <row r="6" spans="1:6" x14ac:dyDescent="0.3">
      <c r="B6" s="10" t="s">
        <v>27</v>
      </c>
      <c r="C6" s="5">
        <f>Table1[[#This Row],[Net Assets (Cr)2]]</f>
        <v>13026</v>
      </c>
      <c r="D6" s="10">
        <v>1.72</v>
      </c>
      <c r="E6" s="6">
        <v>43059</v>
      </c>
      <c r="F6" s="5">
        <v>13026</v>
      </c>
    </row>
    <row r="7" spans="1:6" hidden="1" x14ac:dyDescent="0.3">
      <c r="B7" t="s">
        <v>31</v>
      </c>
      <c r="C7" s="5">
        <f>Table1[[#This Row],[Net Assets (Cr)2]]</f>
        <v>6342</v>
      </c>
      <c r="D7">
        <v>1.77</v>
      </c>
      <c r="E7" s="6">
        <v>45152</v>
      </c>
      <c r="F7" s="5">
        <v>6342</v>
      </c>
    </row>
    <row r="8" spans="1:6" x14ac:dyDescent="0.3">
      <c r="B8" s="10" t="s">
        <v>33</v>
      </c>
      <c r="C8" s="5">
        <f>Table1[[#This Row],[Net Assets (Cr)2]]</f>
        <v>7708</v>
      </c>
      <c r="D8" s="10">
        <v>1.85</v>
      </c>
      <c r="E8" s="6">
        <v>38623</v>
      </c>
      <c r="F8" s="5">
        <v>7708</v>
      </c>
    </row>
    <row r="9" spans="1:6" hidden="1" x14ac:dyDescent="0.3">
      <c r="B9" t="s">
        <v>37</v>
      </c>
      <c r="C9" s="5">
        <f>Table1[[#This Row],[Net Assets (Cr)2]]</f>
        <v>2244</v>
      </c>
      <c r="D9">
        <v>1.98</v>
      </c>
      <c r="E9" s="6">
        <v>44011</v>
      </c>
      <c r="F9" s="5">
        <v>2244</v>
      </c>
    </row>
    <row r="10" spans="1:6" hidden="1" x14ac:dyDescent="0.3">
      <c r="B10" t="s">
        <v>41</v>
      </c>
      <c r="C10" s="5">
        <f>Table1[[#This Row],[Net Assets (Cr)2]]</f>
        <v>1265</v>
      </c>
      <c r="D10">
        <v>2.1800000000000002</v>
      </c>
      <c r="E10" s="6">
        <v>44790</v>
      </c>
      <c r="F10" s="5">
        <v>1265</v>
      </c>
    </row>
    <row r="11" spans="1:6" x14ac:dyDescent="0.3">
      <c r="B11" s="10" t="s">
        <v>45</v>
      </c>
      <c r="C11" s="5">
        <f>Table1[[#This Row],[Net Assets (Cr)2]]</f>
        <v>13760</v>
      </c>
      <c r="D11" s="10">
        <v>1.69</v>
      </c>
      <c r="E11" s="6">
        <v>37880</v>
      </c>
      <c r="F11" s="5">
        <v>13760</v>
      </c>
    </row>
    <row r="12" spans="1:6" hidden="1" x14ac:dyDescent="0.3">
      <c r="B12" t="s">
        <v>49</v>
      </c>
      <c r="C12" s="5">
        <f>Table1[[#This Row],[Net Assets (Cr)2]]</f>
        <v>311</v>
      </c>
      <c r="D12">
        <v>2.37</v>
      </c>
      <c r="E12" s="6">
        <v>45873</v>
      </c>
      <c r="F12">
        <v>311</v>
      </c>
    </row>
    <row r="13" spans="1:6" x14ac:dyDescent="0.3">
      <c r="B13" s="10" t="s">
        <v>50</v>
      </c>
      <c r="C13" s="5">
        <f>Table1[[#This Row],[Net Assets (Cr)2]]</f>
        <v>12328</v>
      </c>
      <c r="D13" s="10">
        <v>1.72</v>
      </c>
      <c r="E13" s="6">
        <v>35549</v>
      </c>
      <c r="F13" s="5">
        <v>12328</v>
      </c>
    </row>
    <row r="14" spans="1:6" x14ac:dyDescent="0.3">
      <c r="B14" s="10" t="s">
        <v>54</v>
      </c>
      <c r="C14" s="5">
        <f>Table1[[#This Row],[Net Assets (Cr)2]]</f>
        <v>3127</v>
      </c>
      <c r="D14" s="10">
        <v>1.89</v>
      </c>
      <c r="E14" s="6">
        <v>42038</v>
      </c>
      <c r="F14" s="5">
        <v>3127</v>
      </c>
    </row>
    <row r="15" spans="1:6" x14ac:dyDescent="0.3">
      <c r="B15" s="10" t="s">
        <v>58</v>
      </c>
      <c r="C15" s="5">
        <f>Table1[[#This Row],[Net Assets (Cr)2]]</f>
        <v>19972</v>
      </c>
      <c r="D15" s="10">
        <v>1.69</v>
      </c>
      <c r="E15" s="6">
        <v>34606</v>
      </c>
      <c r="F15" s="5">
        <v>19972</v>
      </c>
    </row>
    <row r="16" spans="1:6" x14ac:dyDescent="0.3">
      <c r="B16" s="10" t="s">
        <v>62</v>
      </c>
      <c r="C16" s="5">
        <f>Table1[[#This Row],[Net Assets (Cr)2]]</f>
        <v>96295</v>
      </c>
      <c r="D16" s="10">
        <v>1.33</v>
      </c>
      <c r="E16" s="6">
        <v>34700</v>
      </c>
      <c r="F16" s="5">
        <v>96295</v>
      </c>
    </row>
    <row r="17" spans="2:6" hidden="1" x14ac:dyDescent="0.3">
      <c r="B17" t="s">
        <v>68</v>
      </c>
      <c r="C17" s="5">
        <f>Table1[[#This Row],[Net Assets (Cr)2]]</f>
        <v>5932</v>
      </c>
      <c r="D17">
        <v>1.8</v>
      </c>
      <c r="E17" s="6">
        <v>45243</v>
      </c>
      <c r="F17" s="5">
        <v>5932</v>
      </c>
    </row>
    <row r="18" spans="2:6" x14ac:dyDescent="0.3">
      <c r="B18" s="10" t="s">
        <v>70</v>
      </c>
      <c r="C18" s="5">
        <f>Table1[[#This Row],[Net Assets (Cr)2]]</f>
        <v>5227</v>
      </c>
      <c r="D18" s="10">
        <v>1.93</v>
      </c>
      <c r="E18" s="6">
        <v>38041</v>
      </c>
      <c r="F18" s="5">
        <v>5227</v>
      </c>
    </row>
    <row r="19" spans="2:6" hidden="1" x14ac:dyDescent="0.3">
      <c r="B19" t="s">
        <v>74</v>
      </c>
      <c r="C19" s="5">
        <f>Table1[[#This Row],[Net Assets (Cr)2]]</f>
        <v>20135</v>
      </c>
      <c r="D19">
        <v>1.68</v>
      </c>
      <c r="E19" s="6">
        <v>44394</v>
      </c>
      <c r="F19" s="5">
        <v>20135</v>
      </c>
    </row>
    <row r="20" spans="2:6" hidden="1" x14ac:dyDescent="0.3">
      <c r="B20" t="s">
        <v>80</v>
      </c>
      <c r="C20" s="5">
        <f>Table1[[#This Row],[Net Assets (Cr)2]]</f>
        <v>4723</v>
      </c>
      <c r="D20">
        <v>1.85</v>
      </c>
      <c r="E20" s="6">
        <v>44606</v>
      </c>
      <c r="F20" s="5">
        <v>4723</v>
      </c>
    </row>
    <row r="21" spans="2:6" hidden="1" x14ac:dyDescent="0.3">
      <c r="B21" t="s">
        <v>84</v>
      </c>
      <c r="C21" s="5">
        <f>Table1[[#This Row],[Net Assets (Cr)2]]</f>
        <v>1299</v>
      </c>
      <c r="D21">
        <v>2.02</v>
      </c>
      <c r="E21" s="6">
        <v>44974</v>
      </c>
      <c r="F21" s="5">
        <v>1299</v>
      </c>
    </row>
    <row r="22" spans="2:6" x14ac:dyDescent="0.3">
      <c r="B22" s="10" t="s">
        <v>88</v>
      </c>
      <c r="C22" s="5">
        <f>Table1[[#This Row],[Net Assets (Cr)2]]</f>
        <v>5463</v>
      </c>
      <c r="D22" s="10">
        <v>1.82</v>
      </c>
      <c r="E22" s="6">
        <v>39714</v>
      </c>
      <c r="F22" s="5">
        <v>5463</v>
      </c>
    </row>
    <row r="23" spans="2:6" x14ac:dyDescent="0.3">
      <c r="B23" s="10" t="s">
        <v>92</v>
      </c>
      <c r="C23" s="5">
        <f>Table1[[#This Row],[Net Assets (Cr)2]]</f>
        <v>56460</v>
      </c>
      <c r="D23" s="10">
        <v>1.44</v>
      </c>
      <c r="E23" s="6">
        <v>40067</v>
      </c>
      <c r="F23" s="5">
        <v>56460</v>
      </c>
    </row>
    <row r="24" spans="2:6" x14ac:dyDescent="0.3">
      <c r="B24" s="10" t="s">
        <v>98</v>
      </c>
      <c r="C24" s="5">
        <f>Table1[[#This Row],[Net Assets (Cr)2]]</f>
        <v>1063</v>
      </c>
      <c r="D24" s="10">
        <v>2.27</v>
      </c>
      <c r="E24" s="6">
        <v>34074</v>
      </c>
      <c r="F24" s="5">
        <v>1063</v>
      </c>
    </row>
    <row r="25" spans="2:6" hidden="1" x14ac:dyDescent="0.3">
      <c r="B25" t="s">
        <v>102</v>
      </c>
      <c r="C25" s="5">
        <f>Table1[[#This Row],[Net Assets (Cr)2]]</f>
        <v>1597</v>
      </c>
      <c r="D25">
        <v>2.0499999999999998</v>
      </c>
      <c r="E25" s="6">
        <v>44431</v>
      </c>
      <c r="F25" s="5">
        <v>1597</v>
      </c>
    </row>
    <row r="26" spans="2:6" hidden="1" x14ac:dyDescent="0.3">
      <c r="B26" t="s">
        <v>106</v>
      </c>
      <c r="C26" s="5">
        <f>Table1[[#This Row],[Net Assets (Cr)2]]</f>
        <v>3542</v>
      </c>
      <c r="D26">
        <v>1.88</v>
      </c>
      <c r="E26" s="6">
        <v>44981</v>
      </c>
      <c r="F26" s="5">
        <v>3542</v>
      </c>
    </row>
    <row r="27" spans="2:6" x14ac:dyDescent="0.3">
      <c r="B27" s="10" t="s">
        <v>110</v>
      </c>
      <c r="C27" s="5">
        <f>Table1[[#This Row],[Net Assets (Cr)2]]</f>
        <v>13862</v>
      </c>
      <c r="D27" s="10">
        <v>1.71</v>
      </c>
      <c r="E27" s="6">
        <v>41757</v>
      </c>
      <c r="F27" s="5">
        <v>13862</v>
      </c>
    </row>
    <row r="28" spans="2:6" x14ac:dyDescent="0.3">
      <c r="B28" s="10" t="s">
        <v>114</v>
      </c>
      <c r="C28" s="5">
        <f>Table1[[#This Row],[Net Assets (Cr)2]]</f>
        <v>263</v>
      </c>
      <c r="D28" s="10">
        <v>2.23</v>
      </c>
      <c r="E28" s="6">
        <v>43290</v>
      </c>
      <c r="F28">
        <v>263</v>
      </c>
    </row>
    <row r="29" spans="2:6" hidden="1" x14ac:dyDescent="0.3">
      <c r="B29" t="s">
        <v>116</v>
      </c>
      <c r="C29" s="5">
        <f>Table1[[#This Row],[Net Assets (Cr)2]]</f>
        <v>9592</v>
      </c>
      <c r="D29">
        <v>1.74</v>
      </c>
      <c r="E29" s="6">
        <v>44421</v>
      </c>
      <c r="F29" s="5">
        <v>9592</v>
      </c>
    </row>
    <row r="30" spans="2:6" hidden="1" x14ac:dyDescent="0.3">
      <c r="B30" t="s">
        <v>122</v>
      </c>
      <c r="C30" s="5">
        <f>Table1[[#This Row],[Net Assets (Cr)2]]</f>
        <v>2506</v>
      </c>
      <c r="D30">
        <v>1.95</v>
      </c>
      <c r="E30" s="6">
        <v>45174</v>
      </c>
      <c r="F30" s="5">
        <v>2506</v>
      </c>
    </row>
    <row r="31" spans="2:6" x14ac:dyDescent="0.3">
      <c r="B31" s="10" t="s">
        <v>126</v>
      </c>
      <c r="C31" s="5">
        <f>Table1[[#This Row],[Net Assets (Cr)2]]</f>
        <v>133309</v>
      </c>
      <c r="D31" s="10">
        <v>1.28</v>
      </c>
      <c r="E31" s="6">
        <v>41418</v>
      </c>
      <c r="F31" s="5">
        <v>133309</v>
      </c>
    </row>
    <row r="32" spans="2:6" x14ac:dyDescent="0.3">
      <c r="B32" s="10" t="s">
        <v>128</v>
      </c>
      <c r="C32" s="5">
        <f>Table1[[#This Row],[Net Assets (Cr)2]]</f>
        <v>6268</v>
      </c>
      <c r="D32" s="10">
        <v>1.78</v>
      </c>
      <c r="E32" s="6">
        <v>42067</v>
      </c>
      <c r="F32" s="5">
        <v>6268</v>
      </c>
    </row>
    <row r="33" spans="2:6" x14ac:dyDescent="0.3">
      <c r="B33" s="10" t="s">
        <v>130</v>
      </c>
      <c r="C33" s="5">
        <f>Table1[[#This Row],[Net Assets (Cr)2]]</f>
        <v>6700</v>
      </c>
      <c r="D33" s="10">
        <v>1.82</v>
      </c>
      <c r="E33" s="6">
        <v>39738</v>
      </c>
      <c r="F33" s="5">
        <v>6700</v>
      </c>
    </row>
    <row r="34" spans="2:6" hidden="1" x14ac:dyDescent="0.3">
      <c r="B34" t="s">
        <v>132</v>
      </c>
      <c r="C34" s="5">
        <f>Table1[[#This Row],[Net Assets (Cr)2]]</f>
        <v>321</v>
      </c>
      <c r="D34">
        <v>2.41</v>
      </c>
      <c r="E34" s="6">
        <v>44596</v>
      </c>
      <c r="F34">
        <v>321</v>
      </c>
    </row>
    <row r="35" spans="2:6" x14ac:dyDescent="0.3">
      <c r="B35" s="10" t="s">
        <v>134</v>
      </c>
      <c r="C35" s="5">
        <f>Table1[[#This Row],[Net Assets (Cr)2]]</f>
        <v>23685</v>
      </c>
      <c r="D35" s="10">
        <v>1.66</v>
      </c>
      <c r="E35" s="6">
        <v>38624</v>
      </c>
      <c r="F35" s="5">
        <v>23685</v>
      </c>
    </row>
    <row r="36" spans="2:6" x14ac:dyDescent="0.3">
      <c r="B36" s="10" t="s">
        <v>140</v>
      </c>
      <c r="C36" s="5">
        <f>Table1[[#This Row],[Net Assets (Cr)2]]</f>
        <v>137</v>
      </c>
      <c r="D36" s="10">
        <v>2.39</v>
      </c>
      <c r="E36" s="6">
        <v>43371</v>
      </c>
      <c r="F36">
        <v>137</v>
      </c>
    </row>
    <row r="37" spans="2:6" hidden="1" x14ac:dyDescent="0.3">
      <c r="B37" t="s">
        <v>142</v>
      </c>
      <c r="C37" s="5">
        <f>Table1[[#This Row],[Net Assets (Cr)2]]</f>
        <v>2128</v>
      </c>
      <c r="D37">
        <v>2.0299999999999998</v>
      </c>
      <c r="E37" s="6">
        <v>44810</v>
      </c>
      <c r="F37" s="5">
        <v>2128</v>
      </c>
    </row>
    <row r="38" spans="2:6" x14ac:dyDescent="0.3">
      <c r="B38" s="10" t="s">
        <v>148</v>
      </c>
      <c r="C38" s="5">
        <f>Table1[[#This Row],[Net Assets (Cr)2]]</f>
        <v>3699</v>
      </c>
      <c r="D38" s="10">
        <v>1.89</v>
      </c>
      <c r="E38" s="6">
        <v>43349</v>
      </c>
      <c r="F38" s="5">
        <v>3699</v>
      </c>
    </row>
    <row r="39" spans="2:6" x14ac:dyDescent="0.3">
      <c r="B39" s="10" t="s">
        <v>154</v>
      </c>
      <c r="C39" s="5">
        <f>Table1[[#This Row],[Net Assets (Cr)2]]</f>
        <v>357</v>
      </c>
      <c r="D39" s="10">
        <v>2.64</v>
      </c>
      <c r="E39" s="6">
        <v>34363</v>
      </c>
      <c r="F39">
        <v>357</v>
      </c>
    </row>
    <row r="40" spans="2:6" hidden="1" x14ac:dyDescent="0.3">
      <c r="B40" t="s">
        <v>156</v>
      </c>
      <c r="C40" s="5">
        <f>Table1[[#This Row],[Net Assets (Cr)2]]</f>
        <v>269</v>
      </c>
      <c r="D40">
        <v>2.34</v>
      </c>
      <c r="E40" s="6">
        <v>45944</v>
      </c>
      <c r="F40">
        <v>269</v>
      </c>
    </row>
    <row r="41" spans="2:6" hidden="1" x14ac:dyDescent="0.3">
      <c r="B41" t="s">
        <v>157</v>
      </c>
      <c r="C41" s="5">
        <f>Table1[[#This Row],[Net Assets (Cr)2]]</f>
        <v>1135</v>
      </c>
      <c r="D41">
        <v>2.12</v>
      </c>
      <c r="E41" s="6">
        <v>45408</v>
      </c>
      <c r="F41" s="5">
        <v>1135</v>
      </c>
    </row>
    <row r="42" spans="2:6" hidden="1" x14ac:dyDescent="0.3">
      <c r="B42" t="s">
        <v>159</v>
      </c>
      <c r="C42" s="5">
        <f>Table1[[#This Row],[Net Assets (Cr)2]]</f>
        <v>174</v>
      </c>
      <c r="D42">
        <v>2.38</v>
      </c>
      <c r="E42" s="6">
        <v>45814</v>
      </c>
      <c r="F42">
        <v>174</v>
      </c>
    </row>
    <row r="43" spans="2:6" x14ac:dyDescent="0.3">
      <c r="B43" s="10" t="s">
        <v>162</v>
      </c>
      <c r="C43" s="5">
        <f>Table1[[#This Row],[Net Assets (Cr)2]]</f>
        <v>2402</v>
      </c>
      <c r="D43" s="10">
        <v>2.02</v>
      </c>
      <c r="E43" s="6">
        <v>40704</v>
      </c>
      <c r="F43" s="5">
        <v>2402</v>
      </c>
    </row>
    <row r="44" spans="2:6" x14ac:dyDescent="0.3">
      <c r="B44" s="10" t="s">
        <v>170</v>
      </c>
      <c r="C44" s="5">
        <f>Table1[[#This Row],[Net Assets (Cr)2]]</f>
        <v>24903</v>
      </c>
      <c r="D44" s="10">
        <v>1.67</v>
      </c>
      <c r="E44" s="6">
        <v>33742</v>
      </c>
      <c r="F44" s="5">
        <v>24903</v>
      </c>
    </row>
    <row r="45" spans="2:6" hidden="1" x14ac:dyDescent="0.3">
      <c r="B45" t="s">
        <v>174</v>
      </c>
      <c r="C45" s="5">
        <f>Table1[[#This Row],[Net Assets (Cr)2]]</f>
        <v>7093</v>
      </c>
      <c r="D45">
        <v>1.77</v>
      </c>
      <c r="E45" s="6">
        <v>44775</v>
      </c>
      <c r="F45" s="5">
        <v>7093</v>
      </c>
    </row>
    <row r="48" spans="2:6" x14ac:dyDescent="0.3">
      <c r="B48" s="7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D084-FE20-46A6-9895-819E5696242F}">
  <sheetPr filterMode="1"/>
  <dimension ref="A1:K85"/>
  <sheetViews>
    <sheetView showGridLines="0" showRuler="0" zoomScaleNormal="100" workbookViewId="0">
      <pane xSplit="2" ySplit="2" topLeftCell="I3" activePane="bottomRight" state="frozenSplit"/>
      <selection pane="topRight"/>
      <selection pane="bottomLeft"/>
      <selection pane="bottomRight" activeCell="J12" sqref="J12"/>
    </sheetView>
  </sheetViews>
  <sheetFormatPr defaultRowHeight="14.4" x14ac:dyDescent="0.3"/>
  <cols>
    <col min="2" max="2" width="56" bestFit="1" customWidth="1"/>
    <col min="3" max="8" width="20" hidden="1" customWidth="1"/>
    <col min="9" max="11" width="20" customWidth="1"/>
  </cols>
  <sheetData>
    <row r="1" spans="1:11" ht="23.4" x14ac:dyDescent="0.45">
      <c r="A1" s="24" t="s">
        <v>251</v>
      </c>
    </row>
    <row r="2" spans="1:11" x14ac:dyDescent="0.3">
      <c r="B2" s="53" t="s">
        <v>0</v>
      </c>
      <c r="C2" s="37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35" t="s">
        <v>6</v>
      </c>
      <c r="I2" s="54" t="s">
        <v>7</v>
      </c>
      <c r="J2" s="53" t="s">
        <v>8</v>
      </c>
      <c r="K2" s="54" t="s">
        <v>9</v>
      </c>
    </row>
    <row r="3" spans="1:11" x14ac:dyDescent="0.3">
      <c r="B3" s="10" t="s">
        <v>10</v>
      </c>
      <c r="C3" s="38" t="s">
        <v>11</v>
      </c>
      <c r="D3" s="3">
        <v>2.7</v>
      </c>
      <c r="E3" s="2" t="s">
        <v>12</v>
      </c>
      <c r="F3" s="2" t="s">
        <v>13</v>
      </c>
      <c r="G3" s="2" t="s">
        <v>14</v>
      </c>
      <c r="H3" s="36" t="s">
        <v>15</v>
      </c>
      <c r="I3" s="51">
        <v>1.99</v>
      </c>
      <c r="J3" s="52">
        <v>45107</v>
      </c>
      <c r="K3" s="5">
        <v>2092</v>
      </c>
    </row>
    <row r="4" spans="1:11" hidden="1" x14ac:dyDescent="0.3">
      <c r="B4" s="43" t="s">
        <v>16</v>
      </c>
      <c r="C4" s="2">
        <v>4</v>
      </c>
      <c r="D4" s="3">
        <v>5.05</v>
      </c>
      <c r="E4" s="2" t="s">
        <v>17</v>
      </c>
      <c r="F4" s="2" t="s">
        <v>13</v>
      </c>
      <c r="G4" s="2" t="s">
        <v>14</v>
      </c>
      <c r="H4" s="2" t="s">
        <v>15</v>
      </c>
      <c r="I4" s="44">
        <v>1.79</v>
      </c>
      <c r="J4" s="45">
        <v>41942</v>
      </c>
      <c r="K4" s="46">
        <v>7229</v>
      </c>
    </row>
    <row r="5" spans="1:11" x14ac:dyDescent="0.3">
      <c r="B5" s="10" t="s">
        <v>18</v>
      </c>
      <c r="C5" s="38" t="s">
        <v>11</v>
      </c>
      <c r="D5" s="2" t="s">
        <v>11</v>
      </c>
      <c r="E5" s="2" t="s">
        <v>11</v>
      </c>
      <c r="F5" s="2" t="s">
        <v>13</v>
      </c>
      <c r="G5" s="2" t="s">
        <v>14</v>
      </c>
      <c r="H5" s="36" t="s">
        <v>15</v>
      </c>
      <c r="I5" s="51">
        <v>1.96</v>
      </c>
      <c r="J5" s="52">
        <v>46020</v>
      </c>
      <c r="K5" s="5">
        <v>2493</v>
      </c>
    </row>
    <row r="6" spans="1:11" hidden="1" x14ac:dyDescent="0.3">
      <c r="B6" s="43" t="s">
        <v>19</v>
      </c>
      <c r="C6" s="2">
        <v>2</v>
      </c>
      <c r="D6" s="3">
        <v>9.09</v>
      </c>
      <c r="E6" s="2" t="s">
        <v>20</v>
      </c>
      <c r="F6" s="2" t="s">
        <v>13</v>
      </c>
      <c r="G6" s="2" t="s">
        <v>14</v>
      </c>
      <c r="H6" s="2" t="s">
        <v>15</v>
      </c>
      <c r="I6" s="44">
        <v>2.16</v>
      </c>
      <c r="J6" s="45">
        <v>43507</v>
      </c>
      <c r="K6" s="46">
        <v>1206</v>
      </c>
    </row>
    <row r="7" spans="1:11" x14ac:dyDescent="0.3">
      <c r="B7" s="10" t="s">
        <v>21</v>
      </c>
      <c r="C7" s="38">
        <v>3</v>
      </c>
      <c r="D7" s="3">
        <v>12.32</v>
      </c>
      <c r="E7" s="2" t="s">
        <v>22</v>
      </c>
      <c r="F7" s="2" t="s">
        <v>13</v>
      </c>
      <c r="G7" s="2" t="s">
        <v>14</v>
      </c>
      <c r="H7" s="36" t="s">
        <v>15</v>
      </c>
      <c r="I7" s="51">
        <v>1.65</v>
      </c>
      <c r="J7" s="52">
        <v>36034</v>
      </c>
      <c r="K7" s="5">
        <v>25098</v>
      </c>
    </row>
    <row r="8" spans="1:11" hidden="1" x14ac:dyDescent="0.3">
      <c r="B8" s="47" t="s">
        <v>23</v>
      </c>
      <c r="C8" s="2">
        <v>3</v>
      </c>
      <c r="D8" s="3">
        <v>12.65</v>
      </c>
      <c r="E8" s="2" t="s">
        <v>24</v>
      </c>
      <c r="F8" s="2" t="s">
        <v>13</v>
      </c>
      <c r="G8" s="2" t="s">
        <v>14</v>
      </c>
      <c r="H8" s="2" t="s">
        <v>15</v>
      </c>
      <c r="I8" s="48">
        <v>1.81</v>
      </c>
      <c r="J8" s="49">
        <v>38649</v>
      </c>
      <c r="K8" s="50">
        <v>8209</v>
      </c>
    </row>
    <row r="9" spans="1:11" hidden="1" x14ac:dyDescent="0.3">
      <c r="B9" s="39" t="s">
        <v>25</v>
      </c>
      <c r="C9" s="2">
        <v>2</v>
      </c>
      <c r="D9" s="3">
        <v>12.27</v>
      </c>
      <c r="E9" s="2" t="s">
        <v>26</v>
      </c>
      <c r="F9" s="2" t="s">
        <v>13</v>
      </c>
      <c r="G9" s="2" t="s">
        <v>14</v>
      </c>
      <c r="H9" s="2" t="s">
        <v>15</v>
      </c>
      <c r="I9" s="40">
        <v>2.41</v>
      </c>
      <c r="J9" s="41">
        <v>43535</v>
      </c>
      <c r="K9" s="40">
        <v>431</v>
      </c>
    </row>
    <row r="10" spans="1:11" x14ac:dyDescent="0.3">
      <c r="B10" s="10" t="s">
        <v>27</v>
      </c>
      <c r="C10" s="38">
        <v>2</v>
      </c>
      <c r="D10" s="3">
        <v>5.89</v>
      </c>
      <c r="E10" s="2" t="s">
        <v>28</v>
      </c>
      <c r="F10" s="2" t="s">
        <v>13</v>
      </c>
      <c r="G10" s="2" t="s">
        <v>14</v>
      </c>
      <c r="H10" s="36" t="s">
        <v>15</v>
      </c>
      <c r="I10" s="51">
        <v>1.72</v>
      </c>
      <c r="J10" s="52">
        <v>43059</v>
      </c>
      <c r="K10" s="5">
        <v>13026</v>
      </c>
    </row>
    <row r="11" spans="1:11" hidden="1" x14ac:dyDescent="0.3">
      <c r="B11" s="43" t="s">
        <v>29</v>
      </c>
      <c r="C11" s="2">
        <v>1</v>
      </c>
      <c r="D11" s="3">
        <v>5.69</v>
      </c>
      <c r="E11" s="2" t="s">
        <v>30</v>
      </c>
      <c r="F11" s="2" t="s">
        <v>13</v>
      </c>
      <c r="G11" s="2" t="s">
        <v>14</v>
      </c>
      <c r="H11" s="2" t="s">
        <v>15</v>
      </c>
      <c r="I11" s="44">
        <v>1.75</v>
      </c>
      <c r="J11" s="45">
        <v>41089</v>
      </c>
      <c r="K11" s="46">
        <v>11972</v>
      </c>
    </row>
    <row r="12" spans="1:11" x14ac:dyDescent="0.3">
      <c r="B12" s="10" t="s">
        <v>31</v>
      </c>
      <c r="C12" s="38" t="s">
        <v>11</v>
      </c>
      <c r="D12" s="3">
        <v>8.16</v>
      </c>
      <c r="E12" s="2" t="s">
        <v>32</v>
      </c>
      <c r="F12" s="2" t="s">
        <v>13</v>
      </c>
      <c r="G12" s="2" t="s">
        <v>14</v>
      </c>
      <c r="H12" s="36" t="s">
        <v>15</v>
      </c>
      <c r="I12" s="51">
        <v>1.77</v>
      </c>
      <c r="J12" s="52">
        <v>45152</v>
      </c>
      <c r="K12" s="5">
        <v>6342</v>
      </c>
    </row>
    <row r="13" spans="1:11" x14ac:dyDescent="0.3">
      <c r="B13" s="10" t="s">
        <v>33</v>
      </c>
      <c r="C13" s="38">
        <v>3</v>
      </c>
      <c r="D13" s="3">
        <v>9.6199999999999992</v>
      </c>
      <c r="E13" s="2" t="s">
        <v>34</v>
      </c>
      <c r="F13" s="2" t="s">
        <v>13</v>
      </c>
      <c r="G13" s="2" t="s">
        <v>14</v>
      </c>
      <c r="H13" s="36" t="s">
        <v>15</v>
      </c>
      <c r="I13" s="51">
        <v>1.85</v>
      </c>
      <c r="J13" s="52">
        <v>38623</v>
      </c>
      <c r="K13" s="5">
        <v>7708</v>
      </c>
    </row>
    <row r="14" spans="1:11" hidden="1" x14ac:dyDescent="0.3">
      <c r="B14" s="43" t="s">
        <v>35</v>
      </c>
      <c r="C14" s="2">
        <v>3</v>
      </c>
      <c r="D14" s="3">
        <v>2.25</v>
      </c>
      <c r="E14" s="2" t="s">
        <v>36</v>
      </c>
      <c r="F14" s="2" t="s">
        <v>13</v>
      </c>
      <c r="G14" s="2" t="s">
        <v>14</v>
      </c>
      <c r="H14" s="2" t="s">
        <v>15</v>
      </c>
      <c r="I14" s="44">
        <v>2.0499999999999998</v>
      </c>
      <c r="J14" s="45">
        <v>38792</v>
      </c>
      <c r="K14" s="46">
        <v>2059</v>
      </c>
    </row>
    <row r="15" spans="1:11" x14ac:dyDescent="0.3">
      <c r="B15" s="10" t="s">
        <v>37</v>
      </c>
      <c r="C15" s="38">
        <v>4</v>
      </c>
      <c r="D15" s="3">
        <v>4.7300000000000004</v>
      </c>
      <c r="E15" s="2" t="s">
        <v>38</v>
      </c>
      <c r="F15" s="2" t="s">
        <v>13</v>
      </c>
      <c r="G15" s="2" t="s">
        <v>14</v>
      </c>
      <c r="H15" s="36" t="s">
        <v>15</v>
      </c>
      <c r="I15" s="51">
        <v>1.98</v>
      </c>
      <c r="J15" s="52">
        <v>44011</v>
      </c>
      <c r="K15" s="5">
        <v>2244</v>
      </c>
    </row>
    <row r="16" spans="1:11" hidden="1" x14ac:dyDescent="0.3">
      <c r="B16" s="43" t="s">
        <v>39</v>
      </c>
      <c r="C16" s="2" t="s">
        <v>11</v>
      </c>
      <c r="D16" s="3">
        <v>12.02</v>
      </c>
      <c r="E16" s="2" t="s">
        <v>40</v>
      </c>
      <c r="F16" s="2" t="s">
        <v>13</v>
      </c>
      <c r="G16" s="2" t="s">
        <v>14</v>
      </c>
      <c r="H16" s="2" t="s">
        <v>15</v>
      </c>
      <c r="I16" s="44">
        <v>2.34</v>
      </c>
      <c r="J16" s="45">
        <v>45653</v>
      </c>
      <c r="K16" s="44">
        <v>110</v>
      </c>
    </row>
    <row r="17" spans="2:11" x14ac:dyDescent="0.3">
      <c r="B17" s="10" t="s">
        <v>41</v>
      </c>
      <c r="C17" s="38">
        <v>3</v>
      </c>
      <c r="D17" s="3">
        <v>5.46</v>
      </c>
      <c r="E17" s="2" t="s">
        <v>42</v>
      </c>
      <c r="F17" s="2" t="s">
        <v>13</v>
      </c>
      <c r="G17" s="2" t="s">
        <v>14</v>
      </c>
      <c r="H17" s="36" t="s">
        <v>15</v>
      </c>
      <c r="I17" s="51">
        <v>2.1800000000000002</v>
      </c>
      <c r="J17" s="52">
        <v>44790</v>
      </c>
      <c r="K17" s="5">
        <v>1265</v>
      </c>
    </row>
    <row r="18" spans="2:11" hidden="1" x14ac:dyDescent="0.3">
      <c r="B18" s="43" t="s">
        <v>43</v>
      </c>
      <c r="C18" s="2">
        <v>2</v>
      </c>
      <c r="D18" s="3">
        <v>5.79</v>
      </c>
      <c r="E18" s="2" t="s">
        <v>44</v>
      </c>
      <c r="F18" s="2" t="s">
        <v>13</v>
      </c>
      <c r="G18" s="2" t="s">
        <v>14</v>
      </c>
      <c r="H18" s="2" t="s">
        <v>15</v>
      </c>
      <c r="I18" s="44">
        <v>2.2799999999999998</v>
      </c>
      <c r="J18" s="45">
        <v>43014</v>
      </c>
      <c r="K18" s="44">
        <v>709</v>
      </c>
    </row>
    <row r="19" spans="2:11" x14ac:dyDescent="0.3">
      <c r="B19" s="10" t="s">
        <v>45</v>
      </c>
      <c r="C19" s="38">
        <v>3</v>
      </c>
      <c r="D19" s="3">
        <v>8.85</v>
      </c>
      <c r="E19" s="2" t="s">
        <v>46</v>
      </c>
      <c r="F19" s="2" t="s">
        <v>13</v>
      </c>
      <c r="G19" s="2" t="s">
        <v>14</v>
      </c>
      <c r="H19" s="36" t="s">
        <v>15</v>
      </c>
      <c r="I19" s="51">
        <v>1.69</v>
      </c>
      <c r="J19" s="52">
        <v>37880</v>
      </c>
      <c r="K19" s="5">
        <v>13760</v>
      </c>
    </row>
    <row r="20" spans="2:11" hidden="1" x14ac:dyDescent="0.3">
      <c r="B20" s="43" t="s">
        <v>47</v>
      </c>
      <c r="C20" s="2">
        <v>4</v>
      </c>
      <c r="D20" s="3">
        <v>9.24</v>
      </c>
      <c r="E20" s="2" t="s">
        <v>48</v>
      </c>
      <c r="F20" s="2" t="s">
        <v>13</v>
      </c>
      <c r="G20" s="2" t="s">
        <v>14</v>
      </c>
      <c r="H20" s="2" t="s">
        <v>15</v>
      </c>
      <c r="I20" s="44">
        <v>1.92</v>
      </c>
      <c r="J20" s="45">
        <v>44333</v>
      </c>
      <c r="K20" s="46">
        <v>2869</v>
      </c>
    </row>
    <row r="21" spans="2:11" x14ac:dyDescent="0.3">
      <c r="B21" s="10" t="s">
        <v>49</v>
      </c>
      <c r="C21" s="38" t="s">
        <v>11</v>
      </c>
      <c r="D21" s="2" t="s">
        <v>11</v>
      </c>
      <c r="E21" s="2" t="s">
        <v>11</v>
      </c>
      <c r="F21" s="2" t="s">
        <v>13</v>
      </c>
      <c r="G21" s="2" t="s">
        <v>14</v>
      </c>
      <c r="H21" s="36" t="s">
        <v>15</v>
      </c>
      <c r="I21" s="51">
        <v>2.37</v>
      </c>
      <c r="J21" s="52">
        <v>45873</v>
      </c>
      <c r="K21" s="51">
        <v>311</v>
      </c>
    </row>
    <row r="22" spans="2:11" x14ac:dyDescent="0.3">
      <c r="B22" s="10" t="s">
        <v>50</v>
      </c>
      <c r="C22" s="38">
        <v>3</v>
      </c>
      <c r="D22" s="3">
        <v>6.21</v>
      </c>
      <c r="E22" s="2" t="s">
        <v>51</v>
      </c>
      <c r="F22" s="2" t="s">
        <v>13</v>
      </c>
      <c r="G22" s="2" t="s">
        <v>14</v>
      </c>
      <c r="H22" s="36" t="s">
        <v>15</v>
      </c>
      <c r="I22" s="51">
        <v>1.72</v>
      </c>
      <c r="J22" s="52">
        <v>35549</v>
      </c>
      <c r="K22" s="5">
        <v>12328</v>
      </c>
    </row>
    <row r="23" spans="2:11" hidden="1" x14ac:dyDescent="0.3">
      <c r="B23" s="43" t="s">
        <v>52</v>
      </c>
      <c r="C23" s="2">
        <v>3</v>
      </c>
      <c r="D23" s="3">
        <v>9.15</v>
      </c>
      <c r="E23" s="2" t="s">
        <v>53</v>
      </c>
      <c r="F23" s="2" t="s">
        <v>13</v>
      </c>
      <c r="G23" s="2" t="s">
        <v>14</v>
      </c>
      <c r="H23" s="2" t="s">
        <v>15</v>
      </c>
      <c r="I23" s="44">
        <v>2.0099999999999998</v>
      </c>
      <c r="J23" s="45">
        <v>40339</v>
      </c>
      <c r="K23" s="46">
        <v>2687</v>
      </c>
    </row>
    <row r="24" spans="2:11" x14ac:dyDescent="0.3">
      <c r="B24" s="10" t="s">
        <v>54</v>
      </c>
      <c r="C24" s="38">
        <v>4</v>
      </c>
      <c r="D24" s="3">
        <v>9.92</v>
      </c>
      <c r="E24" s="2" t="s">
        <v>55</v>
      </c>
      <c r="F24" s="2" t="s">
        <v>13</v>
      </c>
      <c r="G24" s="2" t="s">
        <v>14</v>
      </c>
      <c r="H24" s="36" t="s">
        <v>15</v>
      </c>
      <c r="I24" s="51">
        <v>1.89</v>
      </c>
      <c r="J24" s="52">
        <v>42038</v>
      </c>
      <c r="K24" s="5">
        <v>3127</v>
      </c>
    </row>
    <row r="25" spans="2:11" hidden="1" x14ac:dyDescent="0.3">
      <c r="B25" s="43" t="s">
        <v>56</v>
      </c>
      <c r="C25" s="2">
        <v>3</v>
      </c>
      <c r="D25" s="3">
        <v>7.5</v>
      </c>
      <c r="E25" s="2" t="s">
        <v>57</v>
      </c>
      <c r="F25" s="2" t="s">
        <v>13</v>
      </c>
      <c r="G25" s="2" t="s">
        <v>14</v>
      </c>
      <c r="H25" s="2" t="s">
        <v>15</v>
      </c>
      <c r="I25" s="44">
        <v>2.1800000000000002</v>
      </c>
      <c r="J25" s="45">
        <v>44774</v>
      </c>
      <c r="K25" s="46">
        <v>1045</v>
      </c>
    </row>
    <row r="26" spans="2:11" x14ac:dyDescent="0.3">
      <c r="B26" s="10" t="s">
        <v>58</v>
      </c>
      <c r="C26" s="38">
        <v>4</v>
      </c>
      <c r="D26" s="3">
        <v>6.11</v>
      </c>
      <c r="E26" s="2" t="s">
        <v>59</v>
      </c>
      <c r="F26" s="2" t="s">
        <v>13</v>
      </c>
      <c r="G26" s="2" t="s">
        <v>14</v>
      </c>
      <c r="H26" s="36" t="s">
        <v>15</v>
      </c>
      <c r="I26" s="51">
        <v>1.69</v>
      </c>
      <c r="J26" s="52">
        <v>34606</v>
      </c>
      <c r="K26" s="5">
        <v>19972</v>
      </c>
    </row>
    <row r="27" spans="2:11" hidden="1" x14ac:dyDescent="0.3">
      <c r="B27" s="43" t="s">
        <v>60</v>
      </c>
      <c r="C27" s="2">
        <v>4</v>
      </c>
      <c r="D27" s="3">
        <v>8.25</v>
      </c>
      <c r="E27" s="2" t="s">
        <v>61</v>
      </c>
      <c r="F27" s="2" t="s">
        <v>13</v>
      </c>
      <c r="G27" s="2" t="s">
        <v>14</v>
      </c>
      <c r="H27" s="2" t="s">
        <v>15</v>
      </c>
      <c r="I27" s="44">
        <v>1.77</v>
      </c>
      <c r="J27" s="45">
        <v>39289</v>
      </c>
      <c r="K27" s="46">
        <v>12649</v>
      </c>
    </row>
    <row r="28" spans="2:11" x14ac:dyDescent="0.3">
      <c r="B28" s="10" t="s">
        <v>62</v>
      </c>
      <c r="C28" s="38">
        <v>5</v>
      </c>
      <c r="D28" s="3">
        <v>13.5</v>
      </c>
      <c r="E28" s="2" t="s">
        <v>63</v>
      </c>
      <c r="F28" s="2" t="s">
        <v>13</v>
      </c>
      <c r="G28" s="2" t="s">
        <v>14</v>
      </c>
      <c r="H28" s="36" t="s">
        <v>15</v>
      </c>
      <c r="I28" s="51">
        <v>1.33</v>
      </c>
      <c r="J28" s="52">
        <v>34700</v>
      </c>
      <c r="K28" s="5">
        <v>96295</v>
      </c>
    </row>
    <row r="29" spans="2:11" hidden="1" x14ac:dyDescent="0.3">
      <c r="B29" s="47" t="s">
        <v>64</v>
      </c>
      <c r="C29" s="2">
        <v>5</v>
      </c>
      <c r="D29" s="3">
        <v>12.49</v>
      </c>
      <c r="E29" s="2" t="s">
        <v>65</v>
      </c>
      <c r="F29" s="2" t="s">
        <v>13</v>
      </c>
      <c r="G29" s="2" t="s">
        <v>14</v>
      </c>
      <c r="H29" s="2" t="s">
        <v>15</v>
      </c>
      <c r="I29" s="48">
        <v>1.6</v>
      </c>
      <c r="J29" s="49">
        <v>38247</v>
      </c>
      <c r="K29" s="50">
        <v>26537</v>
      </c>
    </row>
    <row r="30" spans="2:11" hidden="1" x14ac:dyDescent="0.3">
      <c r="B30" s="39" t="s">
        <v>66</v>
      </c>
      <c r="C30" s="2">
        <v>4</v>
      </c>
      <c r="D30" s="3">
        <v>6.34</v>
      </c>
      <c r="E30" s="2" t="s">
        <v>67</v>
      </c>
      <c r="F30" s="2" t="s">
        <v>13</v>
      </c>
      <c r="G30" s="2" t="s">
        <v>14</v>
      </c>
      <c r="H30" s="2" t="s">
        <v>15</v>
      </c>
      <c r="I30" s="40">
        <v>1.76</v>
      </c>
      <c r="J30" s="41">
        <v>42425</v>
      </c>
      <c r="K30" s="42">
        <v>7086</v>
      </c>
    </row>
    <row r="31" spans="2:11" x14ac:dyDescent="0.3">
      <c r="B31" s="10" t="s">
        <v>68</v>
      </c>
      <c r="C31" s="38" t="s">
        <v>11</v>
      </c>
      <c r="D31" s="3">
        <v>9.08</v>
      </c>
      <c r="E31" s="2" t="s">
        <v>69</v>
      </c>
      <c r="F31" s="2" t="s">
        <v>13</v>
      </c>
      <c r="G31" s="2" t="s">
        <v>14</v>
      </c>
      <c r="H31" s="36" t="s">
        <v>15</v>
      </c>
      <c r="I31" s="51">
        <v>1.8</v>
      </c>
      <c r="J31" s="52">
        <v>45243</v>
      </c>
      <c r="K31" s="5">
        <v>5932</v>
      </c>
    </row>
    <row r="32" spans="2:11" x14ac:dyDescent="0.3">
      <c r="B32" s="10" t="s">
        <v>70</v>
      </c>
      <c r="C32" s="38">
        <v>4</v>
      </c>
      <c r="D32" s="3">
        <v>5.7</v>
      </c>
      <c r="E32" s="2" t="s">
        <v>71</v>
      </c>
      <c r="F32" s="2" t="s">
        <v>13</v>
      </c>
      <c r="G32" s="2" t="s">
        <v>14</v>
      </c>
      <c r="H32" s="36" t="s">
        <v>15</v>
      </c>
      <c r="I32" s="51">
        <v>1.93</v>
      </c>
      <c r="J32" s="52">
        <v>38041</v>
      </c>
      <c r="K32" s="5">
        <v>5227</v>
      </c>
    </row>
    <row r="33" spans="2:11" hidden="1" x14ac:dyDescent="0.3">
      <c r="B33" s="43" t="s">
        <v>72</v>
      </c>
      <c r="C33" s="2">
        <v>2</v>
      </c>
      <c r="D33" s="3">
        <v>6.29</v>
      </c>
      <c r="E33" s="2" t="s">
        <v>73</v>
      </c>
      <c r="F33" s="2" t="s">
        <v>13</v>
      </c>
      <c r="G33" s="2" t="s">
        <v>14</v>
      </c>
      <c r="H33" s="2" t="s">
        <v>15</v>
      </c>
      <c r="I33" s="44">
        <v>2.11</v>
      </c>
      <c r="J33" s="45">
        <v>44034</v>
      </c>
      <c r="K33" s="46">
        <v>1718</v>
      </c>
    </row>
    <row r="34" spans="2:11" x14ac:dyDescent="0.3">
      <c r="B34" s="10" t="s">
        <v>74</v>
      </c>
      <c r="C34" s="38">
        <v>4</v>
      </c>
      <c r="D34" s="3">
        <v>10.88</v>
      </c>
      <c r="E34" s="2" t="s">
        <v>75</v>
      </c>
      <c r="F34" s="2" t="s">
        <v>13</v>
      </c>
      <c r="G34" s="2" t="s">
        <v>14</v>
      </c>
      <c r="H34" s="36" t="s">
        <v>15</v>
      </c>
      <c r="I34" s="51">
        <v>1.68</v>
      </c>
      <c r="J34" s="52">
        <v>44394</v>
      </c>
      <c r="K34" s="5">
        <v>20135</v>
      </c>
    </row>
    <row r="35" spans="2:11" hidden="1" x14ac:dyDescent="0.3">
      <c r="B35" s="47" t="s">
        <v>76</v>
      </c>
      <c r="C35" s="2">
        <v>5</v>
      </c>
      <c r="D35" s="3">
        <v>18.350000000000001</v>
      </c>
      <c r="E35" s="2" t="s">
        <v>77</v>
      </c>
      <c r="F35" s="2" t="s">
        <v>13</v>
      </c>
      <c r="G35" s="2" t="s">
        <v>14</v>
      </c>
      <c r="H35" s="2" t="s">
        <v>15</v>
      </c>
      <c r="I35" s="48">
        <v>1.69</v>
      </c>
      <c r="J35" s="49">
        <v>39961</v>
      </c>
      <c r="K35" s="50">
        <v>14569</v>
      </c>
    </row>
    <row r="36" spans="2:11" hidden="1" x14ac:dyDescent="0.3">
      <c r="B36" s="39" t="s">
        <v>78</v>
      </c>
      <c r="C36" s="2">
        <v>5</v>
      </c>
      <c r="D36" s="3">
        <v>15.12</v>
      </c>
      <c r="E36" s="2" t="s">
        <v>79</v>
      </c>
      <c r="F36" s="2" t="s">
        <v>13</v>
      </c>
      <c r="G36" s="2" t="s">
        <v>14</v>
      </c>
      <c r="H36" s="2" t="s">
        <v>15</v>
      </c>
      <c r="I36" s="40">
        <v>2.0299999999999998</v>
      </c>
      <c r="J36" s="41">
        <v>43523</v>
      </c>
      <c r="K36" s="42">
        <v>1642</v>
      </c>
    </row>
    <row r="37" spans="2:11" x14ac:dyDescent="0.3">
      <c r="B37" s="10" t="s">
        <v>80</v>
      </c>
      <c r="C37" s="38">
        <v>5</v>
      </c>
      <c r="D37" s="3">
        <v>5.18</v>
      </c>
      <c r="E37" s="2" t="s">
        <v>81</v>
      </c>
      <c r="F37" s="2" t="s">
        <v>13</v>
      </c>
      <c r="G37" s="2" t="s">
        <v>14</v>
      </c>
      <c r="H37" s="36" t="s">
        <v>15</v>
      </c>
      <c r="I37" s="51">
        <v>1.85</v>
      </c>
      <c r="J37" s="52">
        <v>44606</v>
      </c>
      <c r="K37" s="5">
        <v>4723</v>
      </c>
    </row>
    <row r="38" spans="2:11" hidden="1" x14ac:dyDescent="0.3">
      <c r="B38" s="43" t="s">
        <v>82</v>
      </c>
      <c r="C38" s="2">
        <v>4</v>
      </c>
      <c r="D38" s="3">
        <v>-0.7</v>
      </c>
      <c r="E38" s="2" t="s">
        <v>83</v>
      </c>
      <c r="F38" s="2" t="s">
        <v>13</v>
      </c>
      <c r="G38" s="2" t="s">
        <v>14</v>
      </c>
      <c r="H38" s="2" t="s">
        <v>15</v>
      </c>
      <c r="I38" s="44">
        <v>1.83</v>
      </c>
      <c r="J38" s="45">
        <v>44103</v>
      </c>
      <c r="K38" s="46">
        <v>4912</v>
      </c>
    </row>
    <row r="39" spans="2:11" x14ac:dyDescent="0.3">
      <c r="B39" s="10" t="s">
        <v>84</v>
      </c>
      <c r="C39" s="38" t="s">
        <v>11</v>
      </c>
      <c r="D39" s="3">
        <v>7.59</v>
      </c>
      <c r="E39" s="2" t="s">
        <v>85</v>
      </c>
      <c r="F39" s="2" t="s">
        <v>13</v>
      </c>
      <c r="G39" s="2" t="s">
        <v>14</v>
      </c>
      <c r="H39" s="36" t="s">
        <v>15</v>
      </c>
      <c r="I39" s="51">
        <v>2.02</v>
      </c>
      <c r="J39" s="52">
        <v>44974</v>
      </c>
      <c r="K39" s="5">
        <v>1299</v>
      </c>
    </row>
    <row r="40" spans="2:11" hidden="1" x14ac:dyDescent="0.3">
      <c r="B40" s="43" t="s">
        <v>86</v>
      </c>
      <c r="C40" s="2" t="s">
        <v>11</v>
      </c>
      <c r="D40" s="3">
        <v>12.08</v>
      </c>
      <c r="E40" s="2" t="s">
        <v>87</v>
      </c>
      <c r="F40" s="2" t="s">
        <v>13</v>
      </c>
      <c r="G40" s="2" t="s">
        <v>14</v>
      </c>
      <c r="H40" s="2" t="s">
        <v>15</v>
      </c>
      <c r="I40" s="44">
        <v>2.33</v>
      </c>
      <c r="J40" s="45">
        <v>45096</v>
      </c>
      <c r="K40" s="44">
        <v>573</v>
      </c>
    </row>
    <row r="41" spans="2:11" x14ac:dyDescent="0.3">
      <c r="B41" s="10" t="s">
        <v>88</v>
      </c>
      <c r="C41" s="38">
        <v>4</v>
      </c>
      <c r="D41" s="3">
        <v>-3.78</v>
      </c>
      <c r="E41" s="2" t="s">
        <v>89</v>
      </c>
      <c r="F41" s="2" t="s">
        <v>13</v>
      </c>
      <c r="G41" s="2" t="s">
        <v>14</v>
      </c>
      <c r="H41" s="36" t="s">
        <v>15</v>
      </c>
      <c r="I41" s="51">
        <v>1.82</v>
      </c>
      <c r="J41" s="52">
        <v>39714</v>
      </c>
      <c r="K41" s="5">
        <v>5463</v>
      </c>
    </row>
    <row r="42" spans="2:11" hidden="1" x14ac:dyDescent="0.3">
      <c r="B42" s="43" t="s">
        <v>90</v>
      </c>
      <c r="C42" s="2">
        <v>3</v>
      </c>
      <c r="D42" s="3">
        <v>2.91</v>
      </c>
      <c r="E42" s="2" t="s">
        <v>91</v>
      </c>
      <c r="F42" s="2" t="s">
        <v>13</v>
      </c>
      <c r="G42" s="2" t="s">
        <v>14</v>
      </c>
      <c r="H42" s="2" t="s">
        <v>15</v>
      </c>
      <c r="I42" s="44">
        <v>2.38</v>
      </c>
      <c r="J42" s="45">
        <v>39512</v>
      </c>
      <c r="K42" s="44">
        <v>299</v>
      </c>
    </row>
    <row r="43" spans="2:11" x14ac:dyDescent="0.3">
      <c r="B43" s="10" t="s">
        <v>92</v>
      </c>
      <c r="C43" s="38">
        <v>3</v>
      </c>
      <c r="D43" s="3">
        <v>12.68</v>
      </c>
      <c r="E43" s="2" t="s">
        <v>93</v>
      </c>
      <c r="F43" s="2" t="s">
        <v>13</v>
      </c>
      <c r="G43" s="2" t="s">
        <v>14</v>
      </c>
      <c r="H43" s="36" t="s">
        <v>15</v>
      </c>
      <c r="I43" s="51">
        <v>1.44</v>
      </c>
      <c r="J43" s="52">
        <v>40067</v>
      </c>
      <c r="K43" s="5">
        <v>56460</v>
      </c>
    </row>
    <row r="44" spans="2:11" hidden="1" x14ac:dyDescent="0.3">
      <c r="B44" s="47" t="s">
        <v>94</v>
      </c>
      <c r="C44" s="2">
        <v>4</v>
      </c>
      <c r="D44" s="3">
        <v>16.21</v>
      </c>
      <c r="E44" s="2" t="s">
        <v>95</v>
      </c>
      <c r="F44" s="2" t="s">
        <v>13</v>
      </c>
      <c r="G44" s="2" t="s">
        <v>14</v>
      </c>
      <c r="H44" s="2" t="s">
        <v>15</v>
      </c>
      <c r="I44" s="48">
        <v>1.87</v>
      </c>
      <c r="J44" s="49">
        <v>43662</v>
      </c>
      <c r="K44" s="50">
        <v>3972</v>
      </c>
    </row>
    <row r="45" spans="2:11" hidden="1" x14ac:dyDescent="0.3">
      <c r="B45" s="39" t="s">
        <v>96</v>
      </c>
      <c r="C45" s="2">
        <v>1</v>
      </c>
      <c r="D45" s="3">
        <v>-6.21</v>
      </c>
      <c r="E45" s="2" t="s">
        <v>97</v>
      </c>
      <c r="F45" s="2" t="s">
        <v>13</v>
      </c>
      <c r="G45" s="2" t="s">
        <v>14</v>
      </c>
      <c r="H45" s="2" t="s">
        <v>15</v>
      </c>
      <c r="I45" s="40">
        <v>2.4500000000000002</v>
      </c>
      <c r="J45" s="41">
        <v>37207</v>
      </c>
      <c r="K45" s="40">
        <v>15</v>
      </c>
    </row>
    <row r="46" spans="2:11" x14ac:dyDescent="0.3">
      <c r="B46" s="10" t="s">
        <v>98</v>
      </c>
      <c r="C46" s="38">
        <v>2</v>
      </c>
      <c r="D46" s="3">
        <v>2.71</v>
      </c>
      <c r="E46" s="2" t="s">
        <v>99</v>
      </c>
      <c r="F46" s="2" t="s">
        <v>13</v>
      </c>
      <c r="G46" s="2" t="s">
        <v>14</v>
      </c>
      <c r="H46" s="36" t="s">
        <v>15</v>
      </c>
      <c r="I46" s="51">
        <v>2.27</v>
      </c>
      <c r="J46" s="52">
        <v>34074</v>
      </c>
      <c r="K46" s="5">
        <v>1063</v>
      </c>
    </row>
    <row r="47" spans="2:11" hidden="1" x14ac:dyDescent="0.3">
      <c r="B47" s="43" t="s">
        <v>100</v>
      </c>
      <c r="C47" s="2" t="s">
        <v>11</v>
      </c>
      <c r="D47" s="3">
        <v>1.45</v>
      </c>
      <c r="E47" s="2" t="s">
        <v>101</v>
      </c>
      <c r="F47" s="2" t="s">
        <v>13</v>
      </c>
      <c r="G47" s="2" t="s">
        <v>14</v>
      </c>
      <c r="H47" s="2" t="s">
        <v>15</v>
      </c>
      <c r="I47" s="44">
        <v>2.52</v>
      </c>
      <c r="J47" s="45">
        <v>43056</v>
      </c>
      <c r="K47" s="44">
        <v>172</v>
      </c>
    </row>
    <row r="48" spans="2:11" x14ac:dyDescent="0.3">
      <c r="B48" s="10" t="s">
        <v>102</v>
      </c>
      <c r="C48" s="38">
        <v>3</v>
      </c>
      <c r="D48" s="3">
        <v>7.73</v>
      </c>
      <c r="E48" s="2" t="s">
        <v>103</v>
      </c>
      <c r="F48" s="2" t="s">
        <v>13</v>
      </c>
      <c r="G48" s="2" t="s">
        <v>14</v>
      </c>
      <c r="H48" s="36" t="s">
        <v>15</v>
      </c>
      <c r="I48" s="51">
        <v>2.0499999999999998</v>
      </c>
      <c r="J48" s="52">
        <v>44431</v>
      </c>
      <c r="K48" s="5">
        <v>1597</v>
      </c>
    </row>
    <row r="49" spans="2:11" hidden="1" x14ac:dyDescent="0.3">
      <c r="B49" s="43" t="s">
        <v>104</v>
      </c>
      <c r="C49" s="2">
        <v>4</v>
      </c>
      <c r="D49" s="3">
        <v>7.3</v>
      </c>
      <c r="E49" s="2" t="s">
        <v>105</v>
      </c>
      <c r="F49" s="2" t="s">
        <v>13</v>
      </c>
      <c r="G49" s="2" t="s">
        <v>14</v>
      </c>
      <c r="H49" s="2" t="s">
        <v>15</v>
      </c>
      <c r="I49" s="44">
        <v>1.97</v>
      </c>
      <c r="J49" s="45">
        <v>44152</v>
      </c>
      <c r="K49" s="46">
        <v>2228</v>
      </c>
    </row>
    <row r="50" spans="2:11" x14ac:dyDescent="0.3">
      <c r="B50" s="10" t="s">
        <v>106</v>
      </c>
      <c r="C50" s="38" t="s">
        <v>11</v>
      </c>
      <c r="D50" s="3">
        <v>10.89</v>
      </c>
      <c r="E50" s="2" t="s">
        <v>107</v>
      </c>
      <c r="F50" s="2" t="s">
        <v>13</v>
      </c>
      <c r="G50" s="2" t="s">
        <v>14</v>
      </c>
      <c r="H50" s="36" t="s">
        <v>15</v>
      </c>
      <c r="I50" s="51">
        <v>1.88</v>
      </c>
      <c r="J50" s="52">
        <v>44981</v>
      </c>
      <c r="K50" s="5">
        <v>3542</v>
      </c>
    </row>
    <row r="51" spans="2:11" hidden="1" x14ac:dyDescent="0.3">
      <c r="B51" s="43" t="s">
        <v>108</v>
      </c>
      <c r="C51" s="2">
        <v>2</v>
      </c>
      <c r="D51" s="3">
        <v>3.02</v>
      </c>
      <c r="E51" s="2" t="s">
        <v>109</v>
      </c>
      <c r="F51" s="2" t="s">
        <v>13</v>
      </c>
      <c r="G51" s="2" t="s">
        <v>14</v>
      </c>
      <c r="H51" s="2" t="s">
        <v>15</v>
      </c>
      <c r="I51" s="44">
        <v>1.77</v>
      </c>
      <c r="J51" s="45">
        <v>43599</v>
      </c>
      <c r="K51" s="46">
        <v>7785</v>
      </c>
    </row>
    <row r="52" spans="2:11" x14ac:dyDescent="0.3">
      <c r="B52" s="10" t="s">
        <v>110</v>
      </c>
      <c r="C52" s="38">
        <v>3</v>
      </c>
      <c r="D52" s="3">
        <v>3.66</v>
      </c>
      <c r="E52" s="2" t="s">
        <v>111</v>
      </c>
      <c r="F52" s="2" t="s">
        <v>13</v>
      </c>
      <c r="G52" s="2" t="s">
        <v>14</v>
      </c>
      <c r="H52" s="36" t="s">
        <v>15</v>
      </c>
      <c r="I52" s="51">
        <v>1.71</v>
      </c>
      <c r="J52" s="52">
        <v>41757</v>
      </c>
      <c r="K52" s="5">
        <v>13862</v>
      </c>
    </row>
    <row r="53" spans="2:11" hidden="1" x14ac:dyDescent="0.3">
      <c r="B53" s="43" t="s">
        <v>112</v>
      </c>
      <c r="C53" s="2">
        <v>1</v>
      </c>
      <c r="D53" s="3">
        <v>2.56</v>
      </c>
      <c r="E53" s="2" t="s">
        <v>113</v>
      </c>
      <c r="F53" s="2" t="s">
        <v>13</v>
      </c>
      <c r="G53" s="2" t="s">
        <v>14</v>
      </c>
      <c r="H53" s="2" t="s">
        <v>15</v>
      </c>
      <c r="I53" s="44">
        <v>2.12</v>
      </c>
      <c r="J53" s="45">
        <v>41407</v>
      </c>
      <c r="K53" s="46">
        <v>1513</v>
      </c>
    </row>
    <row r="54" spans="2:11" x14ac:dyDescent="0.3">
      <c r="B54" s="10" t="s">
        <v>114</v>
      </c>
      <c r="C54" s="38">
        <v>2</v>
      </c>
      <c r="D54" s="3">
        <v>6.39</v>
      </c>
      <c r="E54" s="2" t="s">
        <v>115</v>
      </c>
      <c r="F54" s="2" t="s">
        <v>13</v>
      </c>
      <c r="G54" s="2" t="s">
        <v>14</v>
      </c>
      <c r="H54" s="36" t="s">
        <v>15</v>
      </c>
      <c r="I54" s="51">
        <v>2.23</v>
      </c>
      <c r="J54" s="52">
        <v>43290</v>
      </c>
      <c r="K54" s="51">
        <v>263</v>
      </c>
    </row>
    <row r="55" spans="2:11" x14ac:dyDescent="0.3">
      <c r="B55" s="10" t="s">
        <v>116</v>
      </c>
      <c r="C55" s="38">
        <v>3</v>
      </c>
      <c r="D55" s="3">
        <v>5</v>
      </c>
      <c r="E55" s="2" t="s">
        <v>117</v>
      </c>
      <c r="F55" s="2" t="s">
        <v>13</v>
      </c>
      <c r="G55" s="2" t="s">
        <v>14</v>
      </c>
      <c r="H55" s="36" t="s">
        <v>15</v>
      </c>
      <c r="I55" s="51">
        <v>1.74</v>
      </c>
      <c r="J55" s="52">
        <v>44421</v>
      </c>
      <c r="K55" s="5">
        <v>9592</v>
      </c>
    </row>
    <row r="56" spans="2:11" hidden="1" x14ac:dyDescent="0.3">
      <c r="B56" s="47" t="s">
        <v>118</v>
      </c>
      <c r="C56" s="2">
        <v>3</v>
      </c>
      <c r="D56" s="3">
        <v>10.130000000000001</v>
      </c>
      <c r="E56" s="2" t="s">
        <v>119</v>
      </c>
      <c r="F56" s="2" t="s">
        <v>13</v>
      </c>
      <c r="G56" s="2" t="s">
        <v>14</v>
      </c>
      <c r="H56" s="2" t="s">
        <v>15</v>
      </c>
      <c r="I56" s="48">
        <v>1.85</v>
      </c>
      <c r="J56" s="49">
        <v>39077</v>
      </c>
      <c r="K56" s="50">
        <v>8790</v>
      </c>
    </row>
    <row r="57" spans="2:11" hidden="1" x14ac:dyDescent="0.3">
      <c r="B57" s="39" t="s">
        <v>120</v>
      </c>
      <c r="C57" s="2">
        <v>4</v>
      </c>
      <c r="D57" s="3">
        <v>4.5599999999999996</v>
      </c>
      <c r="E57" s="2" t="s">
        <v>121</v>
      </c>
      <c r="F57" s="2" t="s">
        <v>13</v>
      </c>
      <c r="G57" s="2" t="s">
        <v>14</v>
      </c>
      <c r="H57" s="2" t="s">
        <v>15</v>
      </c>
      <c r="I57" s="40">
        <v>1.93</v>
      </c>
      <c r="J57" s="41">
        <v>42046</v>
      </c>
      <c r="K57" s="42">
        <v>3194</v>
      </c>
    </row>
    <row r="58" spans="2:11" x14ac:dyDescent="0.3">
      <c r="B58" s="10" t="s">
        <v>122</v>
      </c>
      <c r="C58" s="38" t="s">
        <v>11</v>
      </c>
      <c r="D58" s="3">
        <v>-1.67</v>
      </c>
      <c r="E58" s="2" t="s">
        <v>123</v>
      </c>
      <c r="F58" s="2" t="s">
        <v>13</v>
      </c>
      <c r="G58" s="2" t="s">
        <v>14</v>
      </c>
      <c r="H58" s="36" t="s">
        <v>15</v>
      </c>
      <c r="I58" s="51">
        <v>1.95</v>
      </c>
      <c r="J58" s="52">
        <v>45174</v>
      </c>
      <c r="K58" s="5">
        <v>2506</v>
      </c>
    </row>
    <row r="59" spans="2:11" hidden="1" x14ac:dyDescent="0.3">
      <c r="B59" s="43" t="s">
        <v>124</v>
      </c>
      <c r="C59" s="2" t="s">
        <v>11</v>
      </c>
      <c r="D59" s="3">
        <v>10.42</v>
      </c>
      <c r="E59" s="2" t="s">
        <v>125</v>
      </c>
      <c r="F59" s="2" t="s">
        <v>13</v>
      </c>
      <c r="G59" s="2" t="s">
        <v>14</v>
      </c>
      <c r="H59" s="2" t="s">
        <v>15</v>
      </c>
      <c r="I59" s="44">
        <v>2.02</v>
      </c>
      <c r="J59" s="45">
        <v>45315</v>
      </c>
      <c r="K59" s="46">
        <v>2395</v>
      </c>
    </row>
    <row r="60" spans="2:11" x14ac:dyDescent="0.3">
      <c r="B60" s="10" t="s">
        <v>126</v>
      </c>
      <c r="C60" s="38">
        <v>5</v>
      </c>
      <c r="D60" s="3">
        <v>7.45</v>
      </c>
      <c r="E60" s="2" t="s">
        <v>127</v>
      </c>
      <c r="F60" s="2" t="s">
        <v>13</v>
      </c>
      <c r="G60" s="2" t="s">
        <v>14</v>
      </c>
      <c r="H60" s="36" t="s">
        <v>15</v>
      </c>
      <c r="I60" s="51">
        <v>1.28</v>
      </c>
      <c r="J60" s="52">
        <v>41418</v>
      </c>
      <c r="K60" s="5">
        <v>133309</v>
      </c>
    </row>
    <row r="61" spans="2:11" x14ac:dyDescent="0.3">
      <c r="B61" s="10" t="s">
        <v>128</v>
      </c>
      <c r="C61" s="38">
        <v>2</v>
      </c>
      <c r="D61" s="3">
        <v>6.51</v>
      </c>
      <c r="E61" s="2" t="s">
        <v>129</v>
      </c>
      <c r="F61" s="2" t="s">
        <v>13</v>
      </c>
      <c r="G61" s="2" t="s">
        <v>14</v>
      </c>
      <c r="H61" s="36" t="s">
        <v>15</v>
      </c>
      <c r="I61" s="51">
        <v>1.78</v>
      </c>
      <c r="J61" s="52">
        <v>42067</v>
      </c>
      <c r="K61" s="5">
        <v>6268</v>
      </c>
    </row>
    <row r="62" spans="2:11" x14ac:dyDescent="0.3">
      <c r="B62" s="10" t="s">
        <v>130</v>
      </c>
      <c r="C62" s="38">
        <v>2</v>
      </c>
      <c r="D62" s="3">
        <v>0.53</v>
      </c>
      <c r="E62" s="2" t="s">
        <v>131</v>
      </c>
      <c r="F62" s="2" t="s">
        <v>13</v>
      </c>
      <c r="G62" s="2" t="s">
        <v>14</v>
      </c>
      <c r="H62" s="36" t="s">
        <v>15</v>
      </c>
      <c r="I62" s="51">
        <v>1.82</v>
      </c>
      <c r="J62" s="52">
        <v>39738</v>
      </c>
      <c r="K62" s="5">
        <v>6700</v>
      </c>
    </row>
    <row r="63" spans="2:11" x14ac:dyDescent="0.3">
      <c r="B63" s="10" t="s">
        <v>132</v>
      </c>
      <c r="C63" s="38">
        <v>1</v>
      </c>
      <c r="D63" s="3">
        <v>-10.88</v>
      </c>
      <c r="E63" s="2" t="s">
        <v>133</v>
      </c>
      <c r="F63" s="2" t="s">
        <v>13</v>
      </c>
      <c r="G63" s="2" t="s">
        <v>14</v>
      </c>
      <c r="H63" s="36" t="s">
        <v>15</v>
      </c>
      <c r="I63" s="51">
        <v>2.41</v>
      </c>
      <c r="J63" s="52">
        <v>44596</v>
      </c>
      <c r="K63" s="51">
        <v>321</v>
      </c>
    </row>
    <row r="64" spans="2:11" x14ac:dyDescent="0.3">
      <c r="B64" s="10" t="s">
        <v>134</v>
      </c>
      <c r="C64" s="38">
        <v>3</v>
      </c>
      <c r="D64" s="3">
        <v>5.46</v>
      </c>
      <c r="E64" s="2" t="s">
        <v>135</v>
      </c>
      <c r="F64" s="2" t="s">
        <v>13</v>
      </c>
      <c r="G64" s="2" t="s">
        <v>14</v>
      </c>
      <c r="H64" s="36" t="s">
        <v>15</v>
      </c>
      <c r="I64" s="51">
        <v>1.66</v>
      </c>
      <c r="J64" s="52">
        <v>38624</v>
      </c>
      <c r="K64" s="5">
        <v>23685</v>
      </c>
    </row>
    <row r="65" spans="2:11" hidden="1" x14ac:dyDescent="0.3">
      <c r="B65" s="47" t="s">
        <v>136</v>
      </c>
      <c r="C65" s="2">
        <v>4</v>
      </c>
      <c r="D65" s="3">
        <v>16.13</v>
      </c>
      <c r="E65" s="2" t="s">
        <v>137</v>
      </c>
      <c r="F65" s="2" t="s">
        <v>13</v>
      </c>
      <c r="G65" s="2" t="s">
        <v>14</v>
      </c>
      <c r="H65" s="2" t="s">
        <v>15</v>
      </c>
      <c r="I65" s="48">
        <v>1.53</v>
      </c>
      <c r="J65" s="49">
        <v>38271</v>
      </c>
      <c r="K65" s="50">
        <v>43173</v>
      </c>
    </row>
    <row r="66" spans="2:11" hidden="1" x14ac:dyDescent="0.3">
      <c r="B66" s="39" t="s">
        <v>138</v>
      </c>
      <c r="C66" s="2">
        <v>3</v>
      </c>
      <c r="D66" s="3">
        <v>3.98</v>
      </c>
      <c r="E66" s="2" t="s">
        <v>139</v>
      </c>
      <c r="F66" s="2" t="s">
        <v>13</v>
      </c>
      <c r="G66" s="2" t="s">
        <v>14</v>
      </c>
      <c r="H66" s="2" t="s">
        <v>15</v>
      </c>
      <c r="I66" s="40">
        <v>1.92</v>
      </c>
      <c r="J66" s="41">
        <v>44237</v>
      </c>
      <c r="K66" s="42">
        <v>3162</v>
      </c>
    </row>
    <row r="67" spans="2:11" x14ac:dyDescent="0.3">
      <c r="B67" s="10" t="s">
        <v>140</v>
      </c>
      <c r="C67" s="38">
        <v>1</v>
      </c>
      <c r="D67" s="3">
        <v>1.36</v>
      </c>
      <c r="E67" s="2" t="s">
        <v>141</v>
      </c>
      <c r="F67" s="2" t="s">
        <v>13</v>
      </c>
      <c r="G67" s="2" t="s">
        <v>14</v>
      </c>
      <c r="H67" s="36" t="s">
        <v>15</v>
      </c>
      <c r="I67" s="51">
        <v>2.39</v>
      </c>
      <c r="J67" s="52">
        <v>43371</v>
      </c>
      <c r="K67" s="51">
        <v>137</v>
      </c>
    </row>
    <row r="68" spans="2:11" x14ac:dyDescent="0.3">
      <c r="B68" s="10" t="s">
        <v>142</v>
      </c>
      <c r="C68" s="38">
        <v>3</v>
      </c>
      <c r="D68" s="3">
        <v>8.2899999999999991</v>
      </c>
      <c r="E68" s="2" t="s">
        <v>143</v>
      </c>
      <c r="F68" s="2" t="s">
        <v>13</v>
      </c>
      <c r="G68" s="2" t="s">
        <v>14</v>
      </c>
      <c r="H68" s="36" t="s">
        <v>15</v>
      </c>
      <c r="I68" s="51">
        <v>2.0299999999999998</v>
      </c>
      <c r="J68" s="52">
        <v>44810</v>
      </c>
      <c r="K68" s="5">
        <v>2128</v>
      </c>
    </row>
    <row r="69" spans="2:11" hidden="1" x14ac:dyDescent="0.3">
      <c r="B69" s="47" t="s">
        <v>144</v>
      </c>
      <c r="C69" s="2">
        <v>3</v>
      </c>
      <c r="D69" s="3">
        <v>3.49</v>
      </c>
      <c r="E69" s="2" t="s">
        <v>145</v>
      </c>
      <c r="F69" s="2" t="s">
        <v>13</v>
      </c>
      <c r="G69" s="2" t="s">
        <v>14</v>
      </c>
      <c r="H69" s="2" t="s">
        <v>15</v>
      </c>
      <c r="I69" s="48">
        <v>2.25</v>
      </c>
      <c r="J69" s="49">
        <v>38667</v>
      </c>
      <c r="K69" s="50">
        <v>1103</v>
      </c>
    </row>
    <row r="70" spans="2:11" hidden="1" x14ac:dyDescent="0.3">
      <c r="B70" s="39" t="s">
        <v>146</v>
      </c>
      <c r="C70" s="2">
        <v>2</v>
      </c>
      <c r="D70" s="3">
        <v>0.53</v>
      </c>
      <c r="E70" s="2" t="s">
        <v>147</v>
      </c>
      <c r="F70" s="2" t="s">
        <v>13</v>
      </c>
      <c r="G70" s="2" t="s">
        <v>14</v>
      </c>
      <c r="H70" s="2" t="s">
        <v>15</v>
      </c>
      <c r="I70" s="40">
        <v>2.59</v>
      </c>
      <c r="J70" s="41">
        <v>34986</v>
      </c>
      <c r="K70" s="40">
        <v>365</v>
      </c>
    </row>
    <row r="71" spans="2:11" x14ac:dyDescent="0.3">
      <c r="B71" s="10" t="s">
        <v>148</v>
      </c>
      <c r="C71" s="38">
        <v>3</v>
      </c>
      <c r="D71" s="3">
        <v>8.83</v>
      </c>
      <c r="E71" s="2" t="s">
        <v>149</v>
      </c>
      <c r="F71" s="2" t="s">
        <v>13</v>
      </c>
      <c r="G71" s="2" t="s">
        <v>14</v>
      </c>
      <c r="H71" s="36" t="s">
        <v>15</v>
      </c>
      <c r="I71" s="51">
        <v>1.89</v>
      </c>
      <c r="J71" s="52">
        <v>43349</v>
      </c>
      <c r="K71" s="5">
        <v>3699</v>
      </c>
    </row>
    <row r="72" spans="2:11" hidden="1" x14ac:dyDescent="0.3">
      <c r="B72" s="47" t="s">
        <v>150</v>
      </c>
      <c r="C72" s="2">
        <v>3</v>
      </c>
      <c r="D72" s="3">
        <v>5.0199999999999996</v>
      </c>
      <c r="E72" s="2" t="s">
        <v>151</v>
      </c>
      <c r="F72" s="2" t="s">
        <v>13</v>
      </c>
      <c r="G72" s="2" t="s">
        <v>14</v>
      </c>
      <c r="H72" s="2" t="s">
        <v>15</v>
      </c>
      <c r="I72" s="48">
        <v>2.04</v>
      </c>
      <c r="J72" s="49">
        <v>43804</v>
      </c>
      <c r="K72" s="50">
        <v>1859</v>
      </c>
    </row>
    <row r="73" spans="2:11" hidden="1" x14ac:dyDescent="0.3">
      <c r="B73" s="39" t="s">
        <v>152</v>
      </c>
      <c r="C73" s="2">
        <v>2</v>
      </c>
      <c r="D73" s="3">
        <v>1.72</v>
      </c>
      <c r="E73" s="2" t="s">
        <v>153</v>
      </c>
      <c r="F73" s="2" t="s">
        <v>13</v>
      </c>
      <c r="G73" s="2" t="s">
        <v>14</v>
      </c>
      <c r="H73" s="2" t="s">
        <v>15</v>
      </c>
      <c r="I73" s="40">
        <v>2</v>
      </c>
      <c r="J73" s="41">
        <v>40848</v>
      </c>
      <c r="K73" s="42">
        <v>2108</v>
      </c>
    </row>
    <row r="74" spans="2:11" x14ac:dyDescent="0.3">
      <c r="B74" s="10" t="s">
        <v>154</v>
      </c>
      <c r="C74" s="38">
        <v>2</v>
      </c>
      <c r="D74" s="3">
        <v>-0.81</v>
      </c>
      <c r="E74" s="2" t="s">
        <v>155</v>
      </c>
      <c r="F74" s="2" t="s">
        <v>13</v>
      </c>
      <c r="G74" s="2" t="s">
        <v>14</v>
      </c>
      <c r="H74" s="36" t="s">
        <v>15</v>
      </c>
      <c r="I74" s="51">
        <v>2.64</v>
      </c>
      <c r="J74" s="52">
        <v>34363</v>
      </c>
      <c r="K74" s="51">
        <v>357</v>
      </c>
    </row>
    <row r="75" spans="2:11" x14ac:dyDescent="0.3">
      <c r="B75" s="10" t="s">
        <v>156</v>
      </c>
      <c r="C75" s="38" t="s">
        <v>11</v>
      </c>
      <c r="D75" s="2" t="s">
        <v>11</v>
      </c>
      <c r="E75" s="2" t="s">
        <v>11</v>
      </c>
      <c r="F75" s="2" t="s">
        <v>13</v>
      </c>
      <c r="G75" s="2" t="s">
        <v>14</v>
      </c>
      <c r="H75" s="36" t="s">
        <v>15</v>
      </c>
      <c r="I75" s="51">
        <v>2.34</v>
      </c>
      <c r="J75" s="52">
        <v>45944</v>
      </c>
      <c r="K75" s="51">
        <v>269</v>
      </c>
    </row>
    <row r="76" spans="2:11" x14ac:dyDescent="0.3">
      <c r="B76" s="10" t="s">
        <v>157</v>
      </c>
      <c r="C76" s="38" t="s">
        <v>11</v>
      </c>
      <c r="D76" s="3">
        <v>1.37</v>
      </c>
      <c r="E76" s="2" t="s">
        <v>158</v>
      </c>
      <c r="F76" s="2" t="s">
        <v>13</v>
      </c>
      <c r="G76" s="2" t="s">
        <v>14</v>
      </c>
      <c r="H76" s="36" t="s">
        <v>15</v>
      </c>
      <c r="I76" s="51">
        <v>2.12</v>
      </c>
      <c r="J76" s="52">
        <v>45408</v>
      </c>
      <c r="K76" s="5">
        <v>1135</v>
      </c>
    </row>
    <row r="77" spans="2:11" x14ac:dyDescent="0.3">
      <c r="B77" s="10" t="s">
        <v>159</v>
      </c>
      <c r="C77" s="38" t="s">
        <v>11</v>
      </c>
      <c r="D77" s="2" t="s">
        <v>11</v>
      </c>
      <c r="E77" s="2" t="s">
        <v>11</v>
      </c>
      <c r="F77" s="2" t="s">
        <v>13</v>
      </c>
      <c r="G77" s="2" t="s">
        <v>14</v>
      </c>
      <c r="H77" s="36" t="s">
        <v>15</v>
      </c>
      <c r="I77" s="51">
        <v>2.38</v>
      </c>
      <c r="J77" s="52">
        <v>45814</v>
      </c>
      <c r="K77" s="51">
        <v>174</v>
      </c>
    </row>
    <row r="78" spans="2:11" hidden="1" x14ac:dyDescent="0.3">
      <c r="B78" s="43" t="s">
        <v>160</v>
      </c>
      <c r="C78" s="2" t="s">
        <v>11</v>
      </c>
      <c r="D78" s="3">
        <v>7.62</v>
      </c>
      <c r="E78" s="2" t="s">
        <v>161</v>
      </c>
      <c r="F78" s="2" t="s">
        <v>13</v>
      </c>
      <c r="G78" s="2" t="s">
        <v>14</v>
      </c>
      <c r="H78" s="2" t="s">
        <v>15</v>
      </c>
      <c r="I78" s="44">
        <v>2.4</v>
      </c>
      <c r="J78" s="45">
        <v>45279</v>
      </c>
      <c r="K78" s="44">
        <v>81</v>
      </c>
    </row>
    <row r="79" spans="2:11" x14ac:dyDescent="0.3">
      <c r="B79" s="10" t="s">
        <v>162</v>
      </c>
      <c r="C79" s="38">
        <v>3</v>
      </c>
      <c r="D79" s="3">
        <v>6.96</v>
      </c>
      <c r="E79" s="2" t="s">
        <v>163</v>
      </c>
      <c r="F79" s="2" t="s">
        <v>13</v>
      </c>
      <c r="G79" s="2" t="s">
        <v>14</v>
      </c>
      <c r="H79" s="36" t="s">
        <v>15</v>
      </c>
      <c r="I79" s="51">
        <v>2.02</v>
      </c>
      <c r="J79" s="52">
        <v>40704</v>
      </c>
      <c r="K79" s="5">
        <v>2402</v>
      </c>
    </row>
    <row r="80" spans="2:11" hidden="1" x14ac:dyDescent="0.3">
      <c r="B80" s="47" t="s">
        <v>164</v>
      </c>
      <c r="C80" s="2">
        <v>2</v>
      </c>
      <c r="D80" s="3">
        <v>2.82</v>
      </c>
      <c r="E80" s="2" t="s">
        <v>165</v>
      </c>
      <c r="F80" s="2" t="s">
        <v>13</v>
      </c>
      <c r="G80" s="2" t="s">
        <v>14</v>
      </c>
      <c r="H80" s="2" t="s">
        <v>15</v>
      </c>
      <c r="I80" s="48">
        <v>2.5099999999999998</v>
      </c>
      <c r="J80" s="49">
        <v>43682</v>
      </c>
      <c r="K80" s="48">
        <v>412</v>
      </c>
    </row>
    <row r="81" spans="2:11" hidden="1" x14ac:dyDescent="0.3">
      <c r="B81" s="2" t="s">
        <v>166</v>
      </c>
      <c r="C81" s="2">
        <v>3</v>
      </c>
      <c r="D81" s="3">
        <v>8.58</v>
      </c>
      <c r="E81" s="2" t="s">
        <v>167</v>
      </c>
      <c r="F81" s="2" t="s">
        <v>13</v>
      </c>
      <c r="G81" s="2" t="s">
        <v>14</v>
      </c>
      <c r="H81" s="2" t="s">
        <v>15</v>
      </c>
      <c r="I81" s="3">
        <v>2.4</v>
      </c>
      <c r="J81" s="4">
        <v>44826</v>
      </c>
      <c r="K81" s="3">
        <v>192</v>
      </c>
    </row>
    <row r="82" spans="2:11" hidden="1" x14ac:dyDescent="0.3">
      <c r="B82" s="39" t="s">
        <v>168</v>
      </c>
      <c r="C82" s="2">
        <v>2</v>
      </c>
      <c r="D82" s="3">
        <v>5.64</v>
      </c>
      <c r="E82" s="2" t="s">
        <v>169</v>
      </c>
      <c r="F82" s="2" t="s">
        <v>13</v>
      </c>
      <c r="G82" s="2" t="s">
        <v>14</v>
      </c>
      <c r="H82" s="2" t="s">
        <v>15</v>
      </c>
      <c r="I82" s="40">
        <v>2.2200000000000002</v>
      </c>
      <c r="J82" s="41">
        <v>38034</v>
      </c>
      <c r="K82" s="42">
        <v>1176</v>
      </c>
    </row>
    <row r="83" spans="2:11" x14ac:dyDescent="0.3">
      <c r="B83" s="10" t="s">
        <v>170</v>
      </c>
      <c r="C83" s="38">
        <v>1</v>
      </c>
      <c r="D83" s="3">
        <v>2.63</v>
      </c>
      <c r="E83" s="2" t="s">
        <v>171</v>
      </c>
      <c r="F83" s="2" t="s">
        <v>13</v>
      </c>
      <c r="G83" s="2" t="s">
        <v>14</v>
      </c>
      <c r="H83" s="36" t="s">
        <v>15</v>
      </c>
      <c r="I83" s="51">
        <v>1.67</v>
      </c>
      <c r="J83" s="52">
        <v>33742</v>
      </c>
      <c r="K83" s="5">
        <v>24903</v>
      </c>
    </row>
    <row r="84" spans="2:11" hidden="1" x14ac:dyDescent="0.3">
      <c r="B84" s="43" t="s">
        <v>172</v>
      </c>
      <c r="C84" s="2">
        <v>3</v>
      </c>
      <c r="D84" s="3">
        <v>6.66</v>
      </c>
      <c r="E84" s="2" t="s">
        <v>173</v>
      </c>
      <c r="F84" s="2" t="s">
        <v>13</v>
      </c>
      <c r="G84" s="2" t="s">
        <v>14</v>
      </c>
      <c r="H84" s="2" t="s">
        <v>15</v>
      </c>
      <c r="I84" s="44">
        <v>1.96</v>
      </c>
      <c r="J84" s="45">
        <v>44433</v>
      </c>
      <c r="K84" s="46">
        <v>2610</v>
      </c>
    </row>
    <row r="85" spans="2:11" x14ac:dyDescent="0.3">
      <c r="B85" s="10" t="s">
        <v>174</v>
      </c>
      <c r="C85" s="38">
        <v>4</v>
      </c>
      <c r="D85" s="3">
        <v>8.6999999999999993</v>
      </c>
      <c r="E85" s="2" t="s">
        <v>175</v>
      </c>
      <c r="F85" s="2" t="s">
        <v>13</v>
      </c>
      <c r="G85" s="2" t="s">
        <v>14</v>
      </c>
      <c r="H85" s="36" t="s">
        <v>15</v>
      </c>
      <c r="I85" s="51">
        <v>1.77</v>
      </c>
      <c r="J85" s="52">
        <v>44775</v>
      </c>
      <c r="K85" s="5">
        <v>7093</v>
      </c>
    </row>
  </sheetData>
  <autoFilter ref="B2:K85" xr:uid="{F91CFACC-1C49-44FF-9FF2-8D2CABC8F8E4}">
    <filterColumn colId="0">
      <filters>
        <filter val="360 ONE Flexicap Fund - Regular Plan"/>
        <filter val="Abakkus Flexi Cap Fund - Regular Plan"/>
        <filter val="Aditya Birla Sun Life Flexi Cap Fund - Regular Plan"/>
        <filter val="Axis Flexi Cap Fund - Regular Plan"/>
        <filter val="Bajaj Finserv Flexi Cap Fund - Regular Plan"/>
        <filter val="Bandhan Flexi Cap Fund - Regular Plan"/>
        <filter val="Bank of India Flexi Cap Fund - Regular Plan"/>
        <filter val="Baroda BNP Paribas Flexi Cap Fund - Regular Plan"/>
        <filter val="Canara Robeco Flexi Cap Fund - Regular Plan"/>
        <filter val="Capitalmind Flexi Cap Fund - Regular Plan"/>
        <filter val="DSP Flexi Cap Fund - Regular Plan"/>
        <filter val="Edelweiss Flexi Cap Fund - Regular Plan"/>
        <filter val="Franklin India Flexi Cap Fund - Regular Plan"/>
        <filter val="HDFC Flexi Cap Fund - Regular Plan"/>
        <filter val="Helios Flexi Cap Fund - Regular Plan"/>
        <filter val="HSBC Flexi Cap Fund"/>
        <filter val="ICICI Prudential Flexicap Fund"/>
        <filter val="Invesco India Flexi Cap Fund - Regular Plan"/>
        <filter val="ITI Flexi Cap Fund - Regular Plan"/>
        <filter val="JM Flexicap Fund"/>
        <filter val="Kotak Flexicap Fund - Regular Plan"/>
        <filter val="LIC MF Flexi Cap Fund"/>
        <filter val="Mahindra Manulife Flexi Cap Fund - Regular Plan"/>
        <filter val="Mirae Asset Flexi Cap Fund - Regular Plan"/>
        <filter val="Motilal Oswal Flexi Cap Fund - Regular Plan"/>
        <filter val="Navi Flexi Cap Fund - Regular Plan"/>
        <filter val="Nippon India Flexi Cap Fund - Regular Plan"/>
        <filter val="NJ Flexi Cap Fund - Regular Plan"/>
        <filter val="Parag Parikh Flexi Cap Fund - Regular Plan"/>
        <filter val="PGIM India Flexi Cap Fund - Regular Plan"/>
        <filter val="Quant Flexi Cap Fund"/>
        <filter val="Samco Flexi Cap Fund - Regular Plan"/>
        <filter val="SBI Flexicap Fund"/>
        <filter val="Shriram Flexi Cap Fund - Regular Plan"/>
        <filter val="Sundaram Flexi Cap Fund - Regular Plan"/>
        <filter val="Tata Flexi Cap Fund - Regular Plan"/>
        <filter val="Taurus Flexi Cap Fund - Regular Plan"/>
        <filter val="The Wealth Company Flexi Cap Fund - Regular Plan"/>
        <filter val="TRUSTMF Flexi Cap Fund - Regular Plan"/>
        <filter val="Unifi Flexi Cap Fund - Regular Plan"/>
        <filter val="Union Flexi Cap Fund"/>
        <filter val="UTI Flexi Cap Fund - Regular Plan"/>
        <filter val="WhiteOak Capital Flexi Cap Fund - Regular Plan"/>
      </filters>
    </filterColumn>
  </autoFilter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Metrics Ranking</vt:lpstr>
      <vt:lpstr>Analysis I</vt:lpstr>
      <vt:lpstr>Analysis II</vt:lpstr>
      <vt:lpstr>|</vt:lpstr>
      <vt:lpstr>Extra I</vt:lpstr>
      <vt:lpstr>Extra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George Elias</cp:lastModifiedBy>
  <dcterms:created xsi:type="dcterms:W3CDTF">2026-01-23T09:01:56Z</dcterms:created>
  <dcterms:modified xsi:type="dcterms:W3CDTF">2026-02-25T08:29:58Z</dcterms:modified>
</cp:coreProperties>
</file>